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2191e21fff4dc8" /></Relationships>
</file>

<file path=xl/workbook.xml><?xml version="1.0" encoding="utf-8"?>
<x:workbook xmlns:x="http://schemas.openxmlformats.org/spreadsheetml/2006/main">
  <x:sheets>
    <x:sheet xmlns:r="http://schemas.openxmlformats.org/officeDocument/2006/relationships" name="Monthly Payroll" sheetId="1" r:id="Ra93ac93f5fa545b9"/>
    <x:sheet xmlns:r="http://schemas.openxmlformats.org/officeDocument/2006/relationships" name="Instructions" sheetId="2" r:id="Rf6890a8d5b0b4111"/>
    <x:sheet xmlns:r="http://schemas.openxmlformats.org/officeDocument/2006/relationships" name="Assumptions" sheetId="3" r:id="Rcdc61ffdf07f4ba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quot;₹&quot;#,##0.00"/>
    <x:numFmt numFmtId="201" formatCode="&quot;₹&quot;#,##0"/>
    <x:numFmt numFmtId="202" formatCode="0.0"/>
    <x:numFmt numFmtId="203" formatCode="0.00%"/>
    <x:numFmt numFmtId="204" formatCode="dd mmm yyyy"/>
  </x:numFmts>
  <x:fonts count="9">
    <x:font>
      <x:sz val="11"/>
      <x:name val="Carlito"/>
    </x:font>
    <x:font>
      <x:b/>
      <x:sz val="22"/>
      <x:color rgb="FFFFFFFF"/>
      <x:name val="Aptos Display"/>
    </x:font>
    <x:font>
      <x:sz val="10"/>
      <x:color rgb="FF78716C"/>
      <x:name val="Aptos"/>
    </x:font>
    <x:font>
      <x:sz val="10"/>
      <x:color rgb="FF1C1917"/>
      <x:name val="Aptos"/>
    </x:font>
    <x:font>
      <x:b/>
      <x:sz val="9"/>
      <x:color rgb="FF78716C"/>
      <x:name val="Aptos"/>
    </x:font>
    <x:font>
      <x:b/>
      <x:sz val="11"/>
      <x:color rgb="FF17392D"/>
      <x:name val="Aptos"/>
    </x:font>
    <x:font>
      <x:b/>
      <x:sz val="9"/>
      <x:color rgb="FFFFFFFF"/>
      <x:name val="Aptos"/>
    </x:font>
    <x:font>
      <x:sz val="9"/>
      <x:color rgb="FF1C1917"/>
      <x:name val="Aptos"/>
    </x:font>
    <x:font>
      <x:b/>
      <x:sz val="18"/>
      <x:color rgb="FFFFFFFF"/>
      <x:name val="Aptos Display"/>
    </x:font>
  </x:fonts>
  <x:fills count="6">
    <x:fill>
      <x:patternFill patternType="none"/>
    </x:fill>
    <x:fill>
      <x:patternFill patternType="gray125"/>
    </x:fill>
    <x:fill>
      <x:patternFill patternType="solid">
        <x:fgColor rgb="FF17392D"/>
      </x:patternFill>
    </x:fill>
    <x:fill>
      <x:patternFill patternType="solid">
        <x:fgColor rgb="FFF5F5F4"/>
      </x:patternFill>
    </x:fill>
    <x:fill>
      <x:patternFill patternType="solid">
        <x:fgColor rgb="FFEAF4EF"/>
      </x:patternFill>
    </x:fill>
    <x:fill>
      <x:patternFill patternType="solid">
        <x:fgColor rgb="FFFFF4CF"/>
      </x:patternFill>
    </x:fill>
  </x:fills>
  <x:borders count="2">
    <x:border/>
    <x:border>
      <x:bottom/>
    </x:border>
  </x:borders>
  <x:cellStyleXfs count="1">
    <x:xf numFmtId="0" fontId="0" fillId="0" borderId="0"/>
  </x:cellStyleXfs>
  <x:cellXfs count="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4" fillId="3"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5" fillId="4" borderId="1" xfId="0" applyNumberFormat="1" applyFont="1" applyFill="1" applyBorder="1" applyAlignment="1">
      <x:alignment vertical="center"/>
    </x:xf>
    <x:xf numFmtId="200" fontId="5" fillId="4" borderId="1" xfId="0" applyNumberFormat="1" applyFont="1" applyFill="1" applyBorder="1" applyAlignment="1">
      <x:alignment vertical="center"/>
    </x:xf>
    <x:xf numFmtId="201" fontId="3" fillId="3" borderId="1" xfId="0" applyNumberFormat="1" applyFont="1" applyFill="1" applyBorder="1" applyAlignment="1">
      <x:alignment vertical="center"/>
    </x:xf>
    <x:xf numFmtId="200" fontId="3" fillId="3" borderId="1" xfId="0" applyNumberFormat="1" applyFont="1" applyFill="1" applyBorder="1" applyAlignment="1">
      <x:alignment vertical="center"/>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0" fillId="5" borderId="0" xfId="0" applyNumberFormat="1" applyFont="1" applyFill="1" applyBorder="1"/>
    <x:xf numFmtId="0" fontId="0" fillId="4" borderId="0" xfId="0" applyNumberFormat="1" applyFont="1" applyFill="1" applyBorder="1"/>
    <x:xf numFmtId="0" fontId="7" fillId="5" borderId="0" xfId="0" applyNumberFormat="1" applyFont="1" applyFill="1" applyBorder="1"/>
    <x:xf numFmtId="0" fontId="7" fillId="4" borderId="0" xfId="0" applyNumberFormat="1" applyFont="1" applyFill="1" applyBorder="1"/>
    <x:xf numFmtId="0" fontId="7" fillId="0" borderId="0" xfId="0" applyNumberFormat="1" applyFont="1" applyFill="1" applyBorder="1"/>
    <x:xf numFmtId="0" fontId="7" fillId="5" borderId="1" xfId="0" applyNumberFormat="1" applyFont="1" applyFill="1" applyBorder="1"/>
    <x:xf numFmtId="0" fontId="7" fillId="4" borderId="1" xfId="0" applyNumberFormat="1" applyFont="1" applyFill="1" applyBorder="1"/>
    <x:xf numFmtId="0" fontId="7" fillId="0" borderId="1" xfId="0" applyNumberFormat="1" applyFont="1" applyFill="1" applyBorder="1"/>
    <x:xf numFmtId="0" fontId="7" fillId="5"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5" borderId="1" xfId="0" applyNumberFormat="1" applyFont="1" applyFill="1" applyBorder="1" applyAlignment="1">
      <x:alignment vertical="center"/>
    </x:xf>
    <x:xf numFmtId="0" fontId="7" fillId="4" borderId="1" xfId="0" applyNumberFormat="1" applyFont="1" applyFill="1" applyBorder="1" applyAlignment="1">
      <x:alignment vertical="center"/>
    </x:xf>
    <x:xf numFmtId="0" fontId="7" fillId="0" borderId="1" xfId="0" applyNumberFormat="1" applyFont="1" applyFill="1" applyBorder="1" applyAlignment="1">
      <x:alignment vertical="center"/>
    </x:xf>
    <x:xf numFmtId="202" fontId="7" fillId="5" borderId="0" xfId="0" applyNumberFormat="1" applyFont="1" applyFill="1" applyBorder="1" applyAlignment="1">
      <x:alignment vertical="center"/>
    </x:xf>
    <x:xf numFmtId="202" fontId="7" fillId="5" borderId="1" xfId="0" applyNumberFormat="1" applyFont="1" applyFill="1" applyBorder="1" applyAlignment="1">
      <x:alignment vertical="center"/>
    </x:xf>
    <x:xf numFmtId="201" fontId="7" fillId="5" borderId="0" xfId="0" applyNumberFormat="1" applyFont="1" applyFill="1" applyBorder="1" applyAlignment="1">
      <x:alignment vertical="center"/>
    </x:xf>
    <x:xf numFmtId="201" fontId="7" fillId="5" borderId="1" xfId="0" applyNumberFormat="1" applyFont="1" applyFill="1" applyBorder="1" applyAlignment="1">
      <x:alignment vertical="center"/>
    </x:xf>
    <x:xf numFmtId="200" fontId="7" fillId="4" borderId="0" xfId="0" applyNumberFormat="1" applyFont="1" applyFill="1" applyBorder="1" applyAlignment="1">
      <x:alignment vertical="center"/>
    </x:xf>
    <x:xf numFmtId="200" fontId="7" fillId="4" borderId="1" xfId="0" applyNumberFormat="1" applyFont="1" applyFill="1" applyBorder="1" applyAlignment="1">
      <x:alignment vertical="center"/>
    </x:xf>
    <x:xf numFmtId="201" fontId="7" fillId="0" borderId="0" xfId="0" applyNumberFormat="1" applyFont="1" applyFill="1" applyBorder="1" applyAlignment="1">
      <x:alignment vertical="center"/>
    </x:xf>
    <x:xf numFmtId="201" fontId="7" fillId="0" borderId="1" xfId="0" applyNumberFormat="1" applyFont="1" applyFill="1" applyBorder="1" applyAlignment="1">
      <x:alignment vertical="center"/>
    </x:xf>
    <x:xf numFmtId="200" fontId="7" fillId="0" borderId="0" xfId="0" applyNumberFormat="1" applyFont="1" applyFill="1" applyBorder="1" applyAlignment="1">
      <x:alignment vertical="center"/>
    </x:xf>
    <x:xf numFmtId="200" fontId="7"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7" fillId="0" borderId="0" xfId="0" applyNumberFormat="1" applyFont="1" applyFill="1" applyBorder="1" applyAlignment="1">
      <x:alignment vertical="top"/>
    </x:xf>
    <x:xf numFmtId="0" fontId="7" fillId="0" borderId="1" xfId="0" applyNumberFormat="1" applyFont="1" applyFill="1" applyBorder="1" applyAlignment="1">
      <x:alignment vertical="top"/>
    </x:xf>
    <x:xf numFmtId="203" fontId="7" fillId="0" borderId="0" xfId="0" applyNumberFormat="1" applyFont="1" applyFill="1" applyBorder="1" applyAlignment="1">
      <x:alignment vertical="top"/>
    </x:xf>
    <x:xf numFmtId="203" fontId="7" fillId="0" borderId="1" xfId="0" applyNumberFormat="1" applyFont="1" applyFill="1" applyBorder="1" applyAlignment="1">
      <x:alignment vertical="top"/>
    </x:xf>
    <x:xf numFmtId="201" fontId="7" fillId="0" borderId="0" xfId="0" applyNumberFormat="1" applyFont="1" applyFill="1" applyBorder="1" applyAlignment="1">
      <x:alignment vertical="top"/>
    </x:xf>
    <x:xf numFmtId="204" fontId="7" fillId="0" borderId="0" xfId="0" applyNumberFormat="1" applyFont="1" applyFill="1" applyBorder="1" applyAlignment="1">
      <x:alignment vertical="top"/>
    </x:xf>
    <x:xf numFmtId="204" fontId="7" fillId="0" borderId="1"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cellXfs>
  <x:cellStyles count="1">
    <x:cellStyle name="Normal" xfId="0"/>
  </x:cellStyles>
  <x:dxfs count="1">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0390cccc9b4ad1" /><Relationship Type="http://schemas.openxmlformats.org/officeDocument/2006/relationships/theme" Target="/xl/theme/theme1.xml" Id="R05a1647bd7d84905" /><Relationship Type="http://schemas.openxmlformats.org/officeDocument/2006/relationships/sharedStrings" Target="/xl/sharedStrings.xml" Id="Re88248faf3cd4dda" /><Relationship Type="http://schemas.openxmlformats.org/officeDocument/2006/relationships/worksheet" Target="/xl/worksheets/sheet1.xml" Id="Ra93ac93f5fa545b9" /><Relationship Type="http://schemas.openxmlformats.org/officeDocument/2006/relationships/worksheet" Target="/xl/worksheets/sheet2.xml" Id="Rf6890a8d5b0b4111" /><Relationship Type="http://schemas.openxmlformats.org/officeDocument/2006/relationships/worksheet" Target="/xl/worksheets/sheet3.xml" Id="Rcdc61ffdf07f4b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20" hidden="0" customWidth="1"/>
    <x:col min="3" max="3" width="25" hidden="0" customWidth="1"/>
    <x:col min="4" max="4" width="17" hidden="0" customWidth="1"/>
    <x:col min="5" max="5" width="11" hidden="0" customWidth="1"/>
    <x:col min="6" max="6" width="12" hidden="0" customWidth="1"/>
    <x:col min="7" max="7" width="14" hidden="0" customWidth="1"/>
    <x:col min="8" max="8" width="14" hidden="0" customWidth="1"/>
    <x:col min="9" max="9" width="16"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2" hidden="0" customWidth="1"/>
    <x:col min="17" max="17" width="15" hidden="0" customWidth="1"/>
    <x:col min="18" max="18" width="13" hidden="0" customWidth="1"/>
    <x:col min="19" max="19" width="12" hidden="0" customWidth="1"/>
    <x:col min="20" max="20" width="13" hidden="0" customWidth="1"/>
    <x:col min="21" max="21" width="15" hidden="0" customWidth="1"/>
    <x:col min="22" max="22" width="12" hidden="0" customWidth="1"/>
    <x:col min="23" max="23" width="15" hidden="0" customWidth="1"/>
    <x:col min="24" max="24" width="15" hidden="0" customWidth="1"/>
    <x:col min="25" max="25" width="14" hidden="0" customWidth="1"/>
    <x:col min="26" max="26" width="13" hidden="0" customWidth="1"/>
    <x:col min="27" max="27" width="13" hidden="0" customWidth="1"/>
    <x:col min="28" max="28" width="28" hidden="0" customWidth="1"/>
  </x:cols>
  <x:sheetData>
    <x:row r="1" ht="34" customHeight="1">
      <x:c r="A1" s="3" t="str">
        <x:v>Kula HR · Monthly Payroll Working Paper</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8" customHeight="1">
      <x:c r="A2" s="6" t="str">
        <x:v>Yellow cells are inputs · green cells are formula-driven · review statutory assumptions before live use</x:v>
      </x:c>
      <x:c r="B2" s="6"/>
      <x:c r="C2" s="6"/>
      <x:c r="D2" s="6"/>
      <x:c r="E2" s="6"/>
      <x:c r="F2" s="6"/>
      <x:c r="G2" s="6"/>
      <x:c r="H2" s="6"/>
      <x:c r="I2" s="6"/>
      <x:c r="J2" s="6"/>
      <x:c r="K2" s="6"/>
      <x:c r="L2" s="6"/>
      <x:c r="M2" s="6"/>
      <x:c r="N2" s="6"/>
      <x:c r="O2" s="6"/>
      <x:c r="P2" s="6"/>
      <x:c r="Q2" s="6"/>
      <x:c r="R2" s="6"/>
      <x:c r="S2" s="6"/>
      <x:c r="T2" s="6"/>
      <x:c r="U2" s="6"/>
      <x:c r="V2" s="6"/>
      <x:c r="W2" s="6"/>
      <x:c r="X2" s="6"/>
      <x:c r="Y2" s="6"/>
      <x:c r="Z2" s="6"/>
      <x:c r="AA2" s="6"/>
      <x:c r="AB2" s="6"/>
    </x:row>
    <x:row r="4" ht="28" customHeight="1">
      <x:c r="A4" s="10" t="str">
        <x:v>Total gross</x:v>
      </x:c>
      <x:c r="B4" s="13" t="n">
        <x:f>SUM(O7:O56)</x:f>
        <x:v>96115.38461538462</x:v>
      </x:c>
      <x:c r="C4" s="9" t="str">
        <x:v>Total deductions</x:v>
      </x:c>
      <x:c r="D4" s="14" t="n">
        <x:f>SUM(X7:X56)</x:f>
        <x:v>5482</x:v>
      </x:c>
      <x:c r="E4" s="9" t="str">
        <x:v>Total net pay</x:v>
      </x:c>
      <x:c r="F4" s="15" t="n">
        <x:f>SUM(Y7:Y56)</x:f>
        <x:v>90633.38461538462</x:v>
      </x:c>
      <x:c r="G4" s="9" t="str">
        <x:v>Employer PF + ESI</x:v>
      </x:c>
      <x:c r="H4" s="14" t="n">
        <x:f>SUM(Z7:AA56)</x:f>
        <x:v>5369</x:v>
      </x:c>
    </x:row>
    <x:row r="6" ht="34" customHeight="1">
      <x:c r="A6" s="19" t="str">
        <x:v>Employee ID</x:v>
      </x:c>
      <x:c r="B6" s="19" t="str">
        <x:v>Full Name</x:v>
      </x:c>
      <x:c r="C6" s="19" t="str">
        <x:v>Work Email</x:v>
      </x:c>
      <x:c r="D6" s="19" t="str">
        <x:v>Work State</x:v>
      </x:c>
      <x:c r="E6" s="19" t="str">
        <x:v>Paid Days</x:v>
      </x:c>
      <x:c r="F6" s="19" t="str">
        <x:v>Working Days</x:v>
      </x:c>
      <x:c r="G6" s="19" t="str">
        <x:v>Monthly Basic</x:v>
      </x:c>
      <x:c r="H6" s="19" t="str">
        <x:v>Monthly HRA</x:v>
      </x:c>
      <x:c r="I6" s="19" t="str">
        <x:v>Special Allowance</x:v>
      </x:c>
      <x:c r="J6" s="19" t="str">
        <x:v>Other Earnings</x:v>
      </x:c>
      <x:c r="K6" s="19" t="str">
        <x:v>Prorated Basic</x:v>
      </x:c>
      <x:c r="L6" s="19" t="str">
        <x:v>Prorated HRA</x:v>
      </x:c>
      <x:c r="M6" s="19" t="str">
        <x:v>Prorated Special</x:v>
      </x:c>
      <x:c r="N6" s="19" t="str">
        <x:v>Prorated Other</x:v>
      </x:c>
      <x:c r="O6" s="19" t="str">
        <x:v>Gross Pay</x:v>
      </x:c>
      <x:c r="P6" s="19" t="str">
        <x:v>PF Applies?</x:v>
      </x:c>
      <x:c r="Q6" s="19" t="str">
        <x:v>PF on Full Basic?</x:v>
      </x:c>
      <x:c r="R6" s="19" t="str">
        <x:v>Employee PF</x:v>
      </x:c>
      <x:c r="S6" s="19" t="str">
        <x:v>ESI Applies?</x:v>
      </x:c>
      <x:c r="T6" s="19" t="str">
        <x:v>Employee ESI</x:v>
      </x:c>
      <x:c r="U6" s="19" t="str">
        <x:v>Professional Tax</x:v>
      </x:c>
      <x:c r="V6" s="19" t="str">
        <x:v>TDS</x:v>
      </x:c>
      <x:c r="W6" s="19" t="str">
        <x:v>Other Deductions</x:v>
      </x:c>
      <x:c r="X6" s="19" t="str">
        <x:v>Total Deductions</x:v>
      </x:c>
      <x:c r="Y6" s="19" t="str">
        <x:v>Net Pay</x:v>
      </x:c>
      <x:c r="Z6" s="19" t="str">
        <x:v>Employer PF</x:v>
      </x:c>
      <x:c r="AA6" s="19" t="str">
        <x:v>Employer ESI</x:v>
      </x:c>
      <x:c r="AB6" s="19" t="str">
        <x:v>Notes</x:v>
      </x:c>
    </x:row>
    <x:row r="7" ht="22" customHeight="1">
      <x:c r="A7" s="28" t="str">
        <x:v>EMP-001</x:v>
      </x:c>
      <x:c r="B7" s="28" t="str">
        <x:v>Aarav Mehta</x:v>
      </x:c>
      <x:c r="C7" s="28" t="str">
        <x:v>aarav@example.in</x:v>
      </x:c>
      <x:c r="D7" s="28" t="str">
        <x:v>Maharashtra</x:v>
      </x:c>
      <x:c r="E7" s="34" t="n">
        <x:v>26</x:v>
      </x:c>
      <x:c r="F7" s="34" t="n">
        <x:v>26</x:v>
      </x:c>
      <x:c r="G7" s="36" t="n">
        <x:v>30000</x:v>
      </x:c>
      <x:c r="H7" s="36" t="n">
        <x:v>15000</x:v>
      </x:c>
      <x:c r="I7" s="36" t="n">
        <x:v>5000</x:v>
      </x:c>
      <x:c r="J7" s="36" t="n">
        <x:v>0</x:v>
      </x:c>
      <x:c r="K7" s="38" t="n">
        <x:f>IFERROR(G7*MIN(E7/F7,1),0)</x:f>
        <x:v>30000</x:v>
      </x:c>
      <x:c r="L7" s="38" t="n">
        <x:f>IFERROR(H7*MIN(E7/F7,1),0)</x:f>
        <x:v>15000</x:v>
      </x:c>
      <x:c r="M7" s="38" t="n">
        <x:f>IFERROR(I7*MIN(E7/F7,1),0)</x:f>
        <x:v>5000</x:v>
      </x:c>
      <x:c r="N7" s="38" t="n">
        <x:f>IFERROR(J7*MIN(E7/F7,1),0)</x:f>
        <x:v>0</x:v>
      </x:c>
      <x:c r="O7" s="38" t="n">
        <x:f>SUM(K7:N7)</x:f>
        <x:v>50000</x:v>
      </x:c>
      <x:c r="P7" s="30" t="str">
        <x:v>Yes</x:v>
      </x:c>
      <x:c r="Q7" s="30" t="str">
        <x:v>No</x:v>
      </x:c>
      <x:c r="R7" s="40" t="n">
        <x:f>IF(P7="Yes",ROUND(IF(Q7="Yes",K7,MIN(K7,'Assumptions'!$B$8))*'Assumptions'!$B$4,0),0)</x:f>
        <x:v>1800</x:v>
      </x:c>
      <x:c r="S7" s="30" t="str">
        <x:v>No</x:v>
      </x:c>
      <x:c r="T7" s="40" t="n">
        <x:f>IF(AND(S7="Yes",O7&lt;='Assumptions'!$B$7),ROUNDUP(O7*'Assumptions'!$B$5,0),0)</x:f>
        <x:v>0</x:v>
      </x:c>
      <x:c r="U7" s="40" t="n">
        <x:v>200</x:v>
      </x:c>
      <x:c r="V7" s="40" t="n">
        <x:v>0</x:v>
      </x:c>
      <x:c r="W7" s="40" t="n">
        <x:v>0</x:v>
      </x:c>
      <x:c r="X7" s="40" t="n">
        <x:f>SUM(R7,T7:W7)</x:f>
        <x:v>2000</x:v>
      </x:c>
      <x:c r="Y7" s="42" t="n">
        <x:f>MAX(O7-X7,0)</x:f>
        <x:v>48000</x:v>
      </x:c>
      <x:c r="Z7" s="40" t="n">
        <x:f>IF(P7="Yes",ROUND(IF(Q7="Yes",K7,MIN(K7,'Assumptions'!$B$8))*'Assumptions'!$B$9,0),0)</x:f>
        <x:v>1800</x:v>
      </x:c>
      <x:c r="AA7" s="40" t="n">
        <x:f>IF(AND(S7="Yes",O7&lt;='Assumptions'!$B$7),ROUNDUP(O7*'Assumptions'!$B$6,0),0)</x:f>
        <x:v>0</x:v>
      </x:c>
      <x:c r="AB7" s="30" t="str">
        <x:v>Example row — replace before use</x:v>
      </x:c>
    </x:row>
    <x:row r="8" ht="22" customHeight="1">
      <x:c r="A8" s="28" t="str">
        <x:v>EMP-002</x:v>
      </x:c>
      <x:c r="B8" s="28" t="str">
        <x:v>Nisha Iyer</x:v>
      </x:c>
      <x:c r="C8" s="28" t="str">
        <x:v>nisha@example.in</x:v>
      </x:c>
      <x:c r="D8" s="28" t="str">
        <x:v>Karnataka</x:v>
      </x:c>
      <x:c r="E8" s="34" t="n">
        <x:v>24</x:v>
      </x:c>
      <x:c r="F8" s="34" t="n">
        <x:v>26</x:v>
      </x:c>
      <x:c r="G8" s="36" t="n">
        <x:v>18000</x:v>
      </x:c>
      <x:c r="H8" s="36" t="n">
        <x:v>9000</x:v>
      </x:c>
      <x:c r="I8" s="36" t="n">
        <x:v>3000</x:v>
      </x:c>
      <x:c r="J8" s="36" t="n">
        <x:v>1000</x:v>
      </x:c>
      <x:c r="K8" s="38" t="n">
        <x:f>IFERROR(G8*MIN(E8/F8,1),0)</x:f>
        <x:v>16615.384615384617</x:v>
      </x:c>
      <x:c r="L8" s="38" t="n">
        <x:f>IFERROR(H8*MIN(E8/F8,1),0)</x:f>
        <x:v>8307.692307692309</x:v>
      </x:c>
      <x:c r="M8" s="38" t="n">
        <x:f>IFERROR(I8*MIN(E8/F8,1),0)</x:f>
        <x:v>2769.2307692307695</x:v>
      </x:c>
      <x:c r="N8" s="38" t="n">
        <x:f>IFERROR(J8*MIN(E8/F8,1),0)</x:f>
        <x:v>923.0769230769231</x:v>
      </x:c>
      <x:c r="O8" s="38" t="n">
        <x:f>SUM(K8:N8)</x:f>
        <x:v>28615.384615384617</x:v>
      </x:c>
      <x:c r="P8" s="30" t="str">
        <x:v>Yes</x:v>
      </x:c>
      <x:c r="Q8" s="30" t="str">
        <x:v>No</x:v>
      </x:c>
      <x:c r="R8" s="40" t="n">
        <x:f>IF(P8="Yes",ROUND(IF(Q8="Yes",K8,MIN(K8,'Assumptions'!$B$8))*'Assumptions'!$B$4,0),0)</x:f>
        <x:v>1800</x:v>
      </x:c>
      <x:c r="S8" s="30" t="str">
        <x:v>No</x:v>
      </x:c>
      <x:c r="T8" s="40" t="n">
        <x:f>IF(AND(S8="Yes",O8&lt;='Assumptions'!$B$7),ROUNDUP(O8*'Assumptions'!$B$5,0),0)</x:f>
        <x:v>0</x:v>
      </x:c>
      <x:c r="U8" s="40" t="n">
        <x:v>200</x:v>
      </x:c>
      <x:c r="V8" s="40" t="n">
        <x:v>0</x:v>
      </x:c>
      <x:c r="W8" s="40" t="n">
        <x:v>0</x:v>
      </x:c>
      <x:c r="X8" s="40" t="n">
        <x:f>SUM(R8,T8:W8)</x:f>
        <x:v>2000</x:v>
      </x:c>
      <x:c r="Y8" s="42" t="n">
        <x:f>MAX(O8-X8,0)</x:f>
        <x:v>26615.384615384617</x:v>
      </x:c>
      <x:c r="Z8" s="40" t="n">
        <x:f>IF(P8="Yes",ROUND(IF(Q8="Yes",K8,MIN(K8,'Assumptions'!$B$8))*'Assumptions'!$B$9,0),0)</x:f>
        <x:v>1800</x:v>
      </x:c>
      <x:c r="AA8" s="40" t="n">
        <x:f>IF(AND(S8="Yes",O8&lt;='Assumptions'!$B$7),ROUNDUP(O8*'Assumptions'!$B$6,0),0)</x:f>
        <x:v>0</x:v>
      </x:c>
      <x:c r="AB8" s="30" t="str">
        <x:v>Example with paid-day proration</x:v>
      </x:c>
    </x:row>
    <x:row r="9" ht="22" customHeight="1">
      <x:c r="A9" s="28" t="str">
        <x:v>EMP-003</x:v>
      </x:c>
      <x:c r="B9" s="28" t="str">
        <x:v>Kabir Singh</x:v>
      </x:c>
      <x:c r="C9" s="28" t="str">
        <x:v>kabir@example.in</x:v>
      </x:c>
      <x:c r="D9" s="28" t="str">
        <x:v>Telangana</x:v>
      </x:c>
      <x:c r="E9" s="34" t="n">
        <x:v>26</x:v>
      </x:c>
      <x:c r="F9" s="34" t="n">
        <x:v>26</x:v>
      </x:c>
      <x:c r="G9" s="36" t="n">
        <x:v>10000</x:v>
      </x:c>
      <x:c r="H9" s="36" t="n">
        <x:v>5000</x:v>
      </x:c>
      <x:c r="I9" s="36" t="n">
        <x:v>2500</x:v>
      </x:c>
      <x:c r="J9" s="36" t="n">
        <x:v>0</x:v>
      </x:c>
      <x:c r="K9" s="38" t="n">
        <x:f>IFERROR(G9*MIN(E9/F9,1),0)</x:f>
        <x:v>10000</x:v>
      </x:c>
      <x:c r="L9" s="38" t="n">
        <x:f>IFERROR(H9*MIN(E9/F9,1),0)</x:f>
        <x:v>5000</x:v>
      </x:c>
      <x:c r="M9" s="38" t="n">
        <x:f>IFERROR(I9*MIN(E9/F9,1),0)</x:f>
        <x:v>2500</x:v>
      </x:c>
      <x:c r="N9" s="38" t="n">
        <x:f>IFERROR(J9*MIN(E9/F9,1),0)</x:f>
        <x:v>0</x:v>
      </x:c>
      <x:c r="O9" s="38" t="n">
        <x:f>SUM(K9:N9)</x:f>
        <x:v>17500</x:v>
      </x:c>
      <x:c r="P9" s="30" t="str">
        <x:v>Yes</x:v>
      </x:c>
      <x:c r="Q9" s="30" t="str">
        <x:v>No</x:v>
      </x:c>
      <x:c r="R9" s="40" t="n">
        <x:f>IF(P9="Yes",ROUND(IF(Q9="Yes",K9,MIN(K9,'Assumptions'!$B$8))*'Assumptions'!$B$4,0),0)</x:f>
        <x:v>1200</x:v>
      </x:c>
      <x:c r="S9" s="30" t="str">
        <x:v>Yes</x:v>
      </x:c>
      <x:c r="T9" s="40" t="n">
        <x:f>IF(AND(S9="Yes",O9&lt;='Assumptions'!$B$7),ROUNDUP(O9*'Assumptions'!$B$5,0),0)</x:f>
        <x:v>132</x:v>
      </x:c>
      <x:c r="U9" s="40" t="n">
        <x:v>150</x:v>
      </x:c>
      <x:c r="V9" s="40" t="n">
        <x:v>0</x:v>
      </x:c>
      <x:c r="W9" s="40" t="n">
        <x:v>0</x:v>
      </x:c>
      <x:c r="X9" s="40" t="n">
        <x:f>SUM(R9,T9:W9)</x:f>
        <x:v>1482</x:v>
      </x:c>
      <x:c r="Y9" s="42" t="n">
        <x:f>MAX(O9-X9,0)</x:f>
        <x:v>16018</x:v>
      </x:c>
      <x:c r="Z9" s="40" t="n">
        <x:f>IF(P9="Yes",ROUND(IF(Q9="Yes",K9,MIN(K9,'Assumptions'!$B$8))*'Assumptions'!$B$9,0),0)</x:f>
        <x:v>1200</x:v>
      </x:c>
      <x:c r="AA9" s="40" t="n">
        <x:f>IF(AND(S9="Yes",O9&lt;='Assumptions'!$B$7),ROUNDUP(O9*'Assumptions'!$B$6,0),0)</x:f>
        <x:v>569</x:v>
      </x:c>
      <x:c r="AB9" s="30" t="str">
        <x:v>Example within ESI wage ceiling</x:v>
      </x:c>
    </x:row>
    <x:row r="10" ht="22" customHeight="1">
      <x:c r="A10" s="28"/>
      <x:c r="B10" s="28"/>
      <x:c r="C10" s="28"/>
      <x:c r="D10" s="28"/>
      <x:c r="E10" s="34"/>
      <x:c r="F10" s="34"/>
      <x:c r="G10" s="36"/>
      <x:c r="H10" s="36"/>
      <x:c r="I10" s="36"/>
      <x:c r="J10" s="36"/>
      <x:c r="K10" s="38" t="n">
        <x:f>IFERROR(G10*MIN(E10/F10,1),0)</x:f>
        <x:v>0</x:v>
      </x:c>
      <x:c r="L10" s="38" t="n">
        <x:f>IFERROR(H10*MIN(E10/F10,1),0)</x:f>
        <x:v>0</x:v>
      </x:c>
      <x:c r="M10" s="38" t="n">
        <x:f>IFERROR(I10*MIN(E10/F10,1),0)</x:f>
        <x:v>0</x:v>
      </x:c>
      <x:c r="N10" s="38" t="n">
        <x:f>IFERROR(J10*MIN(E10/F10,1),0)</x:f>
        <x:v>0</x:v>
      </x:c>
      <x:c r="O10" s="38" t="n">
        <x:f>SUM(K10:N10)</x:f>
        <x:v>0</x:v>
      </x:c>
      <x:c r="P10" s="30"/>
      <x:c r="Q10" s="30"/>
      <x:c r="R10" s="40" t="n">
        <x:f>IF(P10="Yes",ROUND(IF(Q10="Yes",K10,MIN(K10,'Assumptions'!$B$8))*'Assumptions'!$B$4,0),0)</x:f>
        <x:v>0</x:v>
      </x:c>
      <x:c r="S10" s="30"/>
      <x:c r="T10" s="40" t="n">
        <x:f>IF(AND(S10="Yes",O10&lt;='Assumptions'!$B$7),ROUNDUP(O10*'Assumptions'!$B$5,0),0)</x:f>
        <x:v>0</x:v>
      </x:c>
      <x:c r="U10" s="40"/>
      <x:c r="V10" s="40"/>
      <x:c r="W10" s="40"/>
      <x:c r="X10" s="40" t="n">
        <x:f>SUM(R10,T10:W10)</x:f>
        <x:v>0</x:v>
      </x:c>
      <x:c r="Y10" s="42" t="n">
        <x:f>MAX(O10-X10,0)</x:f>
        <x:v>0</x:v>
      </x:c>
      <x:c r="Z10" s="40" t="n">
        <x:f>IF(P10="Yes",ROUND(IF(Q10="Yes",K10,MIN(K10,'Assumptions'!$B$8))*'Assumptions'!$B$9,0),0)</x:f>
        <x:v>0</x:v>
      </x:c>
      <x:c r="AA10" s="40" t="n">
        <x:f>IF(AND(S10="Yes",O10&lt;='Assumptions'!$B$7),ROUNDUP(O10*'Assumptions'!$B$6,0),0)</x:f>
        <x:v>0</x:v>
      </x:c>
      <x:c r="AB10" s="30"/>
    </x:row>
    <x:row r="11" ht="22" customHeight="1">
      <x:c r="A11" s="28"/>
      <x:c r="B11" s="28"/>
      <x:c r="C11" s="28"/>
      <x:c r="D11" s="28"/>
      <x:c r="E11" s="34"/>
      <x:c r="F11" s="34"/>
      <x:c r="G11" s="36"/>
      <x:c r="H11" s="36"/>
      <x:c r="I11" s="36"/>
      <x:c r="J11" s="36"/>
      <x:c r="K11" s="38" t="n">
        <x:f>IFERROR(G11*MIN(E11/F11,1),0)</x:f>
        <x:v>0</x:v>
      </x:c>
      <x:c r="L11" s="38" t="n">
        <x:f>IFERROR(H11*MIN(E11/F11,1),0)</x:f>
        <x:v>0</x:v>
      </x:c>
      <x:c r="M11" s="38" t="n">
        <x:f>IFERROR(I11*MIN(E11/F11,1),0)</x:f>
        <x:v>0</x:v>
      </x:c>
      <x:c r="N11" s="38" t="n">
        <x:f>IFERROR(J11*MIN(E11/F11,1),0)</x:f>
        <x:v>0</x:v>
      </x:c>
      <x:c r="O11" s="38" t="n">
        <x:f>SUM(K11:N11)</x:f>
        <x:v>0</x:v>
      </x:c>
      <x:c r="P11" s="30"/>
      <x:c r="Q11" s="30"/>
      <x:c r="R11" s="40" t="n">
        <x:f>IF(P11="Yes",ROUND(IF(Q11="Yes",K11,MIN(K11,'Assumptions'!$B$8))*'Assumptions'!$B$4,0),0)</x:f>
        <x:v>0</x:v>
      </x:c>
      <x:c r="S11" s="30"/>
      <x:c r="T11" s="40" t="n">
        <x:f>IF(AND(S11="Yes",O11&lt;='Assumptions'!$B$7),ROUNDUP(O11*'Assumptions'!$B$5,0),0)</x:f>
        <x:v>0</x:v>
      </x:c>
      <x:c r="U11" s="40"/>
      <x:c r="V11" s="40"/>
      <x:c r="W11" s="40"/>
      <x:c r="X11" s="40" t="n">
        <x:f>SUM(R11,T11:W11)</x:f>
        <x:v>0</x:v>
      </x:c>
      <x:c r="Y11" s="42" t="n">
        <x:f>MAX(O11-X11,0)</x:f>
        <x:v>0</x:v>
      </x:c>
      <x:c r="Z11" s="40" t="n">
        <x:f>IF(P11="Yes",ROUND(IF(Q11="Yes",K11,MIN(K11,'Assumptions'!$B$8))*'Assumptions'!$B$9,0),0)</x:f>
        <x:v>0</x:v>
      </x:c>
      <x:c r="AA11" s="40" t="n">
        <x:f>IF(AND(S11="Yes",O11&lt;='Assumptions'!$B$7),ROUNDUP(O11*'Assumptions'!$B$6,0),0)</x:f>
        <x:v>0</x:v>
      </x:c>
      <x:c r="AB11" s="30"/>
    </x:row>
    <x:row r="12" ht="22" customHeight="1">
      <x:c r="A12" s="28"/>
      <x:c r="B12" s="28"/>
      <x:c r="C12" s="28"/>
      <x:c r="D12" s="28"/>
      <x:c r="E12" s="34"/>
      <x:c r="F12" s="34"/>
      <x:c r="G12" s="36"/>
      <x:c r="H12" s="36"/>
      <x:c r="I12" s="36"/>
      <x:c r="J12" s="36"/>
      <x:c r="K12" s="38" t="n">
        <x:f>IFERROR(G12*MIN(E12/F12,1),0)</x:f>
        <x:v>0</x:v>
      </x:c>
      <x:c r="L12" s="38" t="n">
        <x:f>IFERROR(H12*MIN(E12/F12,1),0)</x:f>
        <x:v>0</x:v>
      </x:c>
      <x:c r="M12" s="38" t="n">
        <x:f>IFERROR(I12*MIN(E12/F12,1),0)</x:f>
        <x:v>0</x:v>
      </x:c>
      <x:c r="N12" s="38" t="n">
        <x:f>IFERROR(J12*MIN(E12/F12,1),0)</x:f>
        <x:v>0</x:v>
      </x:c>
      <x:c r="O12" s="38" t="n">
        <x:f>SUM(K12:N12)</x:f>
        <x:v>0</x:v>
      </x:c>
      <x:c r="P12" s="30"/>
      <x:c r="Q12" s="30"/>
      <x:c r="R12" s="40" t="n">
        <x:f>IF(P12="Yes",ROUND(IF(Q12="Yes",K12,MIN(K12,'Assumptions'!$B$8))*'Assumptions'!$B$4,0),0)</x:f>
        <x:v>0</x:v>
      </x:c>
      <x:c r="S12" s="30"/>
      <x:c r="T12" s="40" t="n">
        <x:f>IF(AND(S12="Yes",O12&lt;='Assumptions'!$B$7),ROUNDUP(O12*'Assumptions'!$B$5,0),0)</x:f>
        <x:v>0</x:v>
      </x:c>
      <x:c r="U12" s="40"/>
      <x:c r="V12" s="40"/>
      <x:c r="W12" s="40"/>
      <x:c r="X12" s="40" t="n">
        <x:f>SUM(R12,T12:W12)</x:f>
        <x:v>0</x:v>
      </x:c>
      <x:c r="Y12" s="42" t="n">
        <x:f>MAX(O12-X12,0)</x:f>
        <x:v>0</x:v>
      </x:c>
      <x:c r="Z12" s="40" t="n">
        <x:f>IF(P12="Yes",ROUND(IF(Q12="Yes",K12,MIN(K12,'Assumptions'!$B$8))*'Assumptions'!$B$9,0),0)</x:f>
        <x:v>0</x:v>
      </x:c>
      <x:c r="AA12" s="40" t="n">
        <x:f>IF(AND(S12="Yes",O12&lt;='Assumptions'!$B$7),ROUNDUP(O12*'Assumptions'!$B$6,0),0)</x:f>
        <x:v>0</x:v>
      </x:c>
      <x:c r="AB12" s="30"/>
    </x:row>
    <x:row r="13" ht="22" customHeight="1">
      <x:c r="A13" s="28"/>
      <x:c r="B13" s="28"/>
      <x:c r="C13" s="28"/>
      <x:c r="D13" s="28"/>
      <x:c r="E13" s="34"/>
      <x:c r="F13" s="34"/>
      <x:c r="G13" s="36"/>
      <x:c r="H13" s="36"/>
      <x:c r="I13" s="36"/>
      <x:c r="J13" s="36"/>
      <x:c r="K13" s="38" t="n">
        <x:f>IFERROR(G13*MIN(E13/F13,1),0)</x:f>
        <x:v>0</x:v>
      </x:c>
      <x:c r="L13" s="38" t="n">
        <x:f>IFERROR(H13*MIN(E13/F13,1),0)</x:f>
        <x:v>0</x:v>
      </x:c>
      <x:c r="M13" s="38" t="n">
        <x:f>IFERROR(I13*MIN(E13/F13,1),0)</x:f>
        <x:v>0</x:v>
      </x:c>
      <x:c r="N13" s="38" t="n">
        <x:f>IFERROR(J13*MIN(E13/F13,1),0)</x:f>
        <x:v>0</x:v>
      </x:c>
      <x:c r="O13" s="38" t="n">
        <x:f>SUM(K13:N13)</x:f>
        <x:v>0</x:v>
      </x:c>
      <x:c r="P13" s="30"/>
      <x:c r="Q13" s="30"/>
      <x:c r="R13" s="40" t="n">
        <x:f>IF(P13="Yes",ROUND(IF(Q13="Yes",K13,MIN(K13,'Assumptions'!$B$8))*'Assumptions'!$B$4,0),0)</x:f>
        <x:v>0</x:v>
      </x:c>
      <x:c r="S13" s="30"/>
      <x:c r="T13" s="40" t="n">
        <x:f>IF(AND(S13="Yes",O13&lt;='Assumptions'!$B$7),ROUNDUP(O13*'Assumptions'!$B$5,0),0)</x:f>
        <x:v>0</x:v>
      </x:c>
      <x:c r="U13" s="40"/>
      <x:c r="V13" s="40"/>
      <x:c r="W13" s="40"/>
      <x:c r="X13" s="40" t="n">
        <x:f>SUM(R13,T13:W13)</x:f>
        <x:v>0</x:v>
      </x:c>
      <x:c r="Y13" s="42" t="n">
        <x:f>MAX(O13-X13,0)</x:f>
        <x:v>0</x:v>
      </x:c>
      <x:c r="Z13" s="40" t="n">
        <x:f>IF(P13="Yes",ROUND(IF(Q13="Yes",K13,MIN(K13,'Assumptions'!$B$8))*'Assumptions'!$B$9,0),0)</x:f>
        <x:v>0</x:v>
      </x:c>
      <x:c r="AA13" s="40" t="n">
        <x:f>IF(AND(S13="Yes",O13&lt;='Assumptions'!$B$7),ROUNDUP(O13*'Assumptions'!$B$6,0),0)</x:f>
        <x:v>0</x:v>
      </x:c>
      <x:c r="AB13" s="30"/>
    </x:row>
    <x:row r="14" ht="22" customHeight="1">
      <x:c r="A14" s="28"/>
      <x:c r="B14" s="28"/>
      <x:c r="C14" s="28"/>
      <x:c r="D14" s="28"/>
      <x:c r="E14" s="34"/>
      <x:c r="F14" s="34"/>
      <x:c r="G14" s="36"/>
      <x:c r="H14" s="36"/>
      <x:c r="I14" s="36"/>
      <x:c r="J14" s="36"/>
      <x:c r="K14" s="38" t="n">
        <x:f>IFERROR(G14*MIN(E14/F14,1),0)</x:f>
        <x:v>0</x:v>
      </x:c>
      <x:c r="L14" s="38" t="n">
        <x:f>IFERROR(H14*MIN(E14/F14,1),0)</x:f>
        <x:v>0</x:v>
      </x:c>
      <x:c r="M14" s="38" t="n">
        <x:f>IFERROR(I14*MIN(E14/F14,1),0)</x:f>
        <x:v>0</x:v>
      </x:c>
      <x:c r="N14" s="38" t="n">
        <x:f>IFERROR(J14*MIN(E14/F14,1),0)</x:f>
        <x:v>0</x:v>
      </x:c>
      <x:c r="O14" s="38" t="n">
        <x:f>SUM(K14:N14)</x:f>
        <x:v>0</x:v>
      </x:c>
      <x:c r="P14" s="30"/>
      <x:c r="Q14" s="30"/>
      <x:c r="R14" s="40" t="n">
        <x:f>IF(P14="Yes",ROUND(IF(Q14="Yes",K14,MIN(K14,'Assumptions'!$B$8))*'Assumptions'!$B$4,0),0)</x:f>
        <x:v>0</x:v>
      </x:c>
      <x:c r="S14" s="30"/>
      <x:c r="T14" s="40" t="n">
        <x:f>IF(AND(S14="Yes",O14&lt;='Assumptions'!$B$7),ROUNDUP(O14*'Assumptions'!$B$5,0),0)</x:f>
        <x:v>0</x:v>
      </x:c>
      <x:c r="U14" s="40"/>
      <x:c r="V14" s="40"/>
      <x:c r="W14" s="40"/>
      <x:c r="X14" s="40" t="n">
        <x:f>SUM(R14,T14:W14)</x:f>
        <x:v>0</x:v>
      </x:c>
      <x:c r="Y14" s="42" t="n">
        <x:f>MAX(O14-X14,0)</x:f>
        <x:v>0</x:v>
      </x:c>
      <x:c r="Z14" s="40" t="n">
        <x:f>IF(P14="Yes",ROUND(IF(Q14="Yes",K14,MIN(K14,'Assumptions'!$B$8))*'Assumptions'!$B$9,0),0)</x:f>
        <x:v>0</x:v>
      </x:c>
      <x:c r="AA14" s="40" t="n">
        <x:f>IF(AND(S14="Yes",O14&lt;='Assumptions'!$B$7),ROUNDUP(O14*'Assumptions'!$B$6,0),0)</x:f>
        <x:v>0</x:v>
      </x:c>
      <x:c r="AB14" s="30"/>
    </x:row>
    <x:row r="15" ht="22" customHeight="1">
      <x:c r="A15" s="28"/>
      <x:c r="B15" s="28"/>
      <x:c r="C15" s="28"/>
      <x:c r="D15" s="28"/>
      <x:c r="E15" s="34"/>
      <x:c r="F15" s="34"/>
      <x:c r="G15" s="36"/>
      <x:c r="H15" s="36"/>
      <x:c r="I15" s="36"/>
      <x:c r="J15" s="36"/>
      <x:c r="K15" s="38" t="n">
        <x:f>IFERROR(G15*MIN(E15/F15,1),0)</x:f>
        <x:v>0</x:v>
      </x:c>
      <x:c r="L15" s="38" t="n">
        <x:f>IFERROR(H15*MIN(E15/F15,1),0)</x:f>
        <x:v>0</x:v>
      </x:c>
      <x:c r="M15" s="38" t="n">
        <x:f>IFERROR(I15*MIN(E15/F15,1),0)</x:f>
        <x:v>0</x:v>
      </x:c>
      <x:c r="N15" s="38" t="n">
        <x:f>IFERROR(J15*MIN(E15/F15,1),0)</x:f>
        <x:v>0</x:v>
      </x:c>
      <x:c r="O15" s="38" t="n">
        <x:f>SUM(K15:N15)</x:f>
        <x:v>0</x:v>
      </x:c>
      <x:c r="P15" s="30"/>
      <x:c r="Q15" s="30"/>
      <x:c r="R15" s="40" t="n">
        <x:f>IF(P15="Yes",ROUND(IF(Q15="Yes",K15,MIN(K15,'Assumptions'!$B$8))*'Assumptions'!$B$4,0),0)</x:f>
        <x:v>0</x:v>
      </x:c>
      <x:c r="S15" s="30"/>
      <x:c r="T15" s="40" t="n">
        <x:f>IF(AND(S15="Yes",O15&lt;='Assumptions'!$B$7),ROUNDUP(O15*'Assumptions'!$B$5,0),0)</x:f>
        <x:v>0</x:v>
      </x:c>
      <x:c r="U15" s="40"/>
      <x:c r="V15" s="40"/>
      <x:c r="W15" s="40"/>
      <x:c r="X15" s="40" t="n">
        <x:f>SUM(R15,T15:W15)</x:f>
        <x:v>0</x:v>
      </x:c>
      <x:c r="Y15" s="42" t="n">
        <x:f>MAX(O15-X15,0)</x:f>
        <x:v>0</x:v>
      </x:c>
      <x:c r="Z15" s="40" t="n">
        <x:f>IF(P15="Yes",ROUND(IF(Q15="Yes",K15,MIN(K15,'Assumptions'!$B$8))*'Assumptions'!$B$9,0),0)</x:f>
        <x:v>0</x:v>
      </x:c>
      <x:c r="AA15" s="40" t="n">
        <x:f>IF(AND(S15="Yes",O15&lt;='Assumptions'!$B$7),ROUNDUP(O15*'Assumptions'!$B$6,0),0)</x:f>
        <x:v>0</x:v>
      </x:c>
      <x:c r="AB15" s="30"/>
    </x:row>
    <x:row r="16" ht="22" customHeight="1">
      <x:c r="A16" s="28"/>
      <x:c r="B16" s="28"/>
      <x:c r="C16" s="28"/>
      <x:c r="D16" s="28"/>
      <x:c r="E16" s="34"/>
      <x:c r="F16" s="34"/>
      <x:c r="G16" s="36"/>
      <x:c r="H16" s="36"/>
      <x:c r="I16" s="36"/>
      <x:c r="J16" s="36"/>
      <x:c r="K16" s="38" t="n">
        <x:f>IFERROR(G16*MIN(E16/F16,1),0)</x:f>
        <x:v>0</x:v>
      </x:c>
      <x:c r="L16" s="38" t="n">
        <x:f>IFERROR(H16*MIN(E16/F16,1),0)</x:f>
        <x:v>0</x:v>
      </x:c>
      <x:c r="M16" s="38" t="n">
        <x:f>IFERROR(I16*MIN(E16/F16,1),0)</x:f>
        <x:v>0</x:v>
      </x:c>
      <x:c r="N16" s="38" t="n">
        <x:f>IFERROR(J16*MIN(E16/F16,1),0)</x:f>
        <x:v>0</x:v>
      </x:c>
      <x:c r="O16" s="38" t="n">
        <x:f>SUM(K16:N16)</x:f>
        <x:v>0</x:v>
      </x:c>
      <x:c r="P16" s="30"/>
      <x:c r="Q16" s="30"/>
      <x:c r="R16" s="40" t="n">
        <x:f>IF(P16="Yes",ROUND(IF(Q16="Yes",K16,MIN(K16,'Assumptions'!$B$8))*'Assumptions'!$B$4,0),0)</x:f>
        <x:v>0</x:v>
      </x:c>
      <x:c r="S16" s="30"/>
      <x:c r="T16" s="40" t="n">
        <x:f>IF(AND(S16="Yes",O16&lt;='Assumptions'!$B$7),ROUNDUP(O16*'Assumptions'!$B$5,0),0)</x:f>
        <x:v>0</x:v>
      </x:c>
      <x:c r="U16" s="40"/>
      <x:c r="V16" s="40"/>
      <x:c r="W16" s="40"/>
      <x:c r="X16" s="40" t="n">
        <x:f>SUM(R16,T16:W16)</x:f>
        <x:v>0</x:v>
      </x:c>
      <x:c r="Y16" s="42" t="n">
        <x:f>MAX(O16-X16,0)</x:f>
        <x:v>0</x:v>
      </x:c>
      <x:c r="Z16" s="40" t="n">
        <x:f>IF(P16="Yes",ROUND(IF(Q16="Yes",K16,MIN(K16,'Assumptions'!$B$8))*'Assumptions'!$B$9,0),0)</x:f>
        <x:v>0</x:v>
      </x:c>
      <x:c r="AA16" s="40" t="n">
        <x:f>IF(AND(S16="Yes",O16&lt;='Assumptions'!$B$7),ROUNDUP(O16*'Assumptions'!$B$6,0),0)</x:f>
        <x:v>0</x:v>
      </x:c>
      <x:c r="AB16" s="30"/>
    </x:row>
    <x:row r="17" ht="22" customHeight="1">
      <x:c r="A17" s="28"/>
      <x:c r="B17" s="28"/>
      <x:c r="C17" s="28"/>
      <x:c r="D17" s="28"/>
      <x:c r="E17" s="34"/>
      <x:c r="F17" s="34"/>
      <x:c r="G17" s="36"/>
      <x:c r="H17" s="36"/>
      <x:c r="I17" s="36"/>
      <x:c r="J17" s="36"/>
      <x:c r="K17" s="38" t="n">
        <x:f>IFERROR(G17*MIN(E17/F17,1),0)</x:f>
        <x:v>0</x:v>
      </x:c>
      <x:c r="L17" s="38" t="n">
        <x:f>IFERROR(H17*MIN(E17/F17,1),0)</x:f>
        <x:v>0</x:v>
      </x:c>
      <x:c r="M17" s="38" t="n">
        <x:f>IFERROR(I17*MIN(E17/F17,1),0)</x:f>
        <x:v>0</x:v>
      </x:c>
      <x:c r="N17" s="38" t="n">
        <x:f>IFERROR(J17*MIN(E17/F17,1),0)</x:f>
        <x:v>0</x:v>
      </x:c>
      <x:c r="O17" s="38" t="n">
        <x:f>SUM(K17:N17)</x:f>
        <x:v>0</x:v>
      </x:c>
      <x:c r="P17" s="30"/>
      <x:c r="Q17" s="30"/>
      <x:c r="R17" s="40" t="n">
        <x:f>IF(P17="Yes",ROUND(IF(Q17="Yes",K17,MIN(K17,'Assumptions'!$B$8))*'Assumptions'!$B$4,0),0)</x:f>
        <x:v>0</x:v>
      </x:c>
      <x:c r="S17" s="30"/>
      <x:c r="T17" s="40" t="n">
        <x:f>IF(AND(S17="Yes",O17&lt;='Assumptions'!$B$7),ROUNDUP(O17*'Assumptions'!$B$5,0),0)</x:f>
        <x:v>0</x:v>
      </x:c>
      <x:c r="U17" s="40"/>
      <x:c r="V17" s="40"/>
      <x:c r="W17" s="40"/>
      <x:c r="X17" s="40" t="n">
        <x:f>SUM(R17,T17:W17)</x:f>
        <x:v>0</x:v>
      </x:c>
      <x:c r="Y17" s="42" t="n">
        <x:f>MAX(O17-X17,0)</x:f>
        <x:v>0</x:v>
      </x:c>
      <x:c r="Z17" s="40" t="n">
        <x:f>IF(P17="Yes",ROUND(IF(Q17="Yes",K17,MIN(K17,'Assumptions'!$B$8))*'Assumptions'!$B$9,0),0)</x:f>
        <x:v>0</x:v>
      </x:c>
      <x:c r="AA17" s="40" t="n">
        <x:f>IF(AND(S17="Yes",O17&lt;='Assumptions'!$B$7),ROUNDUP(O17*'Assumptions'!$B$6,0),0)</x:f>
        <x:v>0</x:v>
      </x:c>
      <x:c r="AB17" s="30"/>
    </x:row>
    <x:row r="18" ht="22" customHeight="1">
      <x:c r="A18" s="28"/>
      <x:c r="B18" s="28"/>
      <x:c r="C18" s="28"/>
      <x:c r="D18" s="28"/>
      <x:c r="E18" s="34"/>
      <x:c r="F18" s="34"/>
      <x:c r="G18" s="36"/>
      <x:c r="H18" s="36"/>
      <x:c r="I18" s="36"/>
      <x:c r="J18" s="36"/>
      <x:c r="K18" s="38" t="n">
        <x:f>IFERROR(G18*MIN(E18/F18,1),0)</x:f>
        <x:v>0</x:v>
      </x:c>
      <x:c r="L18" s="38" t="n">
        <x:f>IFERROR(H18*MIN(E18/F18,1),0)</x:f>
        <x:v>0</x:v>
      </x:c>
      <x:c r="M18" s="38" t="n">
        <x:f>IFERROR(I18*MIN(E18/F18,1),0)</x:f>
        <x:v>0</x:v>
      </x:c>
      <x:c r="N18" s="38" t="n">
        <x:f>IFERROR(J18*MIN(E18/F18,1),0)</x:f>
        <x:v>0</x:v>
      </x:c>
      <x:c r="O18" s="38" t="n">
        <x:f>SUM(K18:N18)</x:f>
        <x:v>0</x:v>
      </x:c>
      <x:c r="P18" s="30"/>
      <x:c r="Q18" s="30"/>
      <x:c r="R18" s="40" t="n">
        <x:f>IF(P18="Yes",ROUND(IF(Q18="Yes",K18,MIN(K18,'Assumptions'!$B$8))*'Assumptions'!$B$4,0),0)</x:f>
        <x:v>0</x:v>
      </x:c>
      <x:c r="S18" s="30"/>
      <x:c r="T18" s="40" t="n">
        <x:f>IF(AND(S18="Yes",O18&lt;='Assumptions'!$B$7),ROUNDUP(O18*'Assumptions'!$B$5,0),0)</x:f>
        <x:v>0</x:v>
      </x:c>
      <x:c r="U18" s="40"/>
      <x:c r="V18" s="40"/>
      <x:c r="W18" s="40"/>
      <x:c r="X18" s="40" t="n">
        <x:f>SUM(R18,T18:W18)</x:f>
        <x:v>0</x:v>
      </x:c>
      <x:c r="Y18" s="42" t="n">
        <x:f>MAX(O18-X18,0)</x:f>
        <x:v>0</x:v>
      </x:c>
      <x:c r="Z18" s="40" t="n">
        <x:f>IF(P18="Yes",ROUND(IF(Q18="Yes",K18,MIN(K18,'Assumptions'!$B$8))*'Assumptions'!$B$9,0),0)</x:f>
        <x:v>0</x:v>
      </x:c>
      <x:c r="AA18" s="40" t="n">
        <x:f>IF(AND(S18="Yes",O18&lt;='Assumptions'!$B$7),ROUNDUP(O18*'Assumptions'!$B$6,0),0)</x:f>
        <x:v>0</x:v>
      </x:c>
      <x:c r="AB18" s="30"/>
    </x:row>
    <x:row r="19" ht="22" customHeight="1">
      <x:c r="A19" s="28"/>
      <x:c r="B19" s="28"/>
      <x:c r="C19" s="28"/>
      <x:c r="D19" s="28"/>
      <x:c r="E19" s="34"/>
      <x:c r="F19" s="34"/>
      <x:c r="G19" s="36"/>
      <x:c r="H19" s="36"/>
      <x:c r="I19" s="36"/>
      <x:c r="J19" s="36"/>
      <x:c r="K19" s="38" t="n">
        <x:f>IFERROR(G19*MIN(E19/F19,1),0)</x:f>
        <x:v>0</x:v>
      </x:c>
      <x:c r="L19" s="38" t="n">
        <x:f>IFERROR(H19*MIN(E19/F19,1),0)</x:f>
        <x:v>0</x:v>
      </x:c>
      <x:c r="M19" s="38" t="n">
        <x:f>IFERROR(I19*MIN(E19/F19,1),0)</x:f>
        <x:v>0</x:v>
      </x:c>
      <x:c r="N19" s="38" t="n">
        <x:f>IFERROR(J19*MIN(E19/F19,1),0)</x:f>
        <x:v>0</x:v>
      </x:c>
      <x:c r="O19" s="38" t="n">
        <x:f>SUM(K19:N19)</x:f>
        <x:v>0</x:v>
      </x:c>
      <x:c r="P19" s="30"/>
      <x:c r="Q19" s="30"/>
      <x:c r="R19" s="40" t="n">
        <x:f>IF(P19="Yes",ROUND(IF(Q19="Yes",K19,MIN(K19,'Assumptions'!$B$8))*'Assumptions'!$B$4,0),0)</x:f>
        <x:v>0</x:v>
      </x:c>
      <x:c r="S19" s="30"/>
      <x:c r="T19" s="40" t="n">
        <x:f>IF(AND(S19="Yes",O19&lt;='Assumptions'!$B$7),ROUNDUP(O19*'Assumptions'!$B$5,0),0)</x:f>
        <x:v>0</x:v>
      </x:c>
      <x:c r="U19" s="40"/>
      <x:c r="V19" s="40"/>
      <x:c r="W19" s="40"/>
      <x:c r="X19" s="40" t="n">
        <x:f>SUM(R19,T19:W19)</x:f>
        <x:v>0</x:v>
      </x:c>
      <x:c r="Y19" s="42" t="n">
        <x:f>MAX(O19-X19,0)</x:f>
        <x:v>0</x:v>
      </x:c>
      <x:c r="Z19" s="40" t="n">
        <x:f>IF(P19="Yes",ROUND(IF(Q19="Yes",K19,MIN(K19,'Assumptions'!$B$8))*'Assumptions'!$B$9,0),0)</x:f>
        <x:v>0</x:v>
      </x:c>
      <x:c r="AA19" s="40" t="n">
        <x:f>IF(AND(S19="Yes",O19&lt;='Assumptions'!$B$7),ROUNDUP(O19*'Assumptions'!$B$6,0),0)</x:f>
        <x:v>0</x:v>
      </x:c>
      <x:c r="AB19" s="30"/>
    </x:row>
    <x:row r="20" ht="22" customHeight="1">
      <x:c r="A20" s="28"/>
      <x:c r="B20" s="28"/>
      <x:c r="C20" s="28"/>
      <x:c r="D20" s="28"/>
      <x:c r="E20" s="34"/>
      <x:c r="F20" s="34"/>
      <x:c r="G20" s="36"/>
      <x:c r="H20" s="36"/>
      <x:c r="I20" s="36"/>
      <x:c r="J20" s="36"/>
      <x:c r="K20" s="38" t="n">
        <x:f>IFERROR(G20*MIN(E20/F20,1),0)</x:f>
        <x:v>0</x:v>
      </x:c>
      <x:c r="L20" s="38" t="n">
        <x:f>IFERROR(H20*MIN(E20/F20,1),0)</x:f>
        <x:v>0</x:v>
      </x:c>
      <x:c r="M20" s="38" t="n">
        <x:f>IFERROR(I20*MIN(E20/F20,1),0)</x:f>
        <x:v>0</x:v>
      </x:c>
      <x:c r="N20" s="38" t="n">
        <x:f>IFERROR(J20*MIN(E20/F20,1),0)</x:f>
        <x:v>0</x:v>
      </x:c>
      <x:c r="O20" s="38" t="n">
        <x:f>SUM(K20:N20)</x:f>
        <x:v>0</x:v>
      </x:c>
      <x:c r="P20" s="30"/>
      <x:c r="Q20" s="30"/>
      <x:c r="R20" s="40" t="n">
        <x:f>IF(P20="Yes",ROUND(IF(Q20="Yes",K20,MIN(K20,'Assumptions'!$B$8))*'Assumptions'!$B$4,0),0)</x:f>
        <x:v>0</x:v>
      </x:c>
      <x:c r="S20" s="30"/>
      <x:c r="T20" s="40" t="n">
        <x:f>IF(AND(S20="Yes",O20&lt;='Assumptions'!$B$7),ROUNDUP(O20*'Assumptions'!$B$5,0),0)</x:f>
        <x:v>0</x:v>
      </x:c>
      <x:c r="U20" s="40"/>
      <x:c r="V20" s="40"/>
      <x:c r="W20" s="40"/>
      <x:c r="X20" s="40" t="n">
        <x:f>SUM(R20,T20:W20)</x:f>
        <x:v>0</x:v>
      </x:c>
      <x:c r="Y20" s="42" t="n">
        <x:f>MAX(O20-X20,0)</x:f>
        <x:v>0</x:v>
      </x:c>
      <x:c r="Z20" s="40" t="n">
        <x:f>IF(P20="Yes",ROUND(IF(Q20="Yes",K20,MIN(K20,'Assumptions'!$B$8))*'Assumptions'!$B$9,0),0)</x:f>
        <x:v>0</x:v>
      </x:c>
      <x:c r="AA20" s="40" t="n">
        <x:f>IF(AND(S20="Yes",O20&lt;='Assumptions'!$B$7),ROUNDUP(O20*'Assumptions'!$B$6,0),0)</x:f>
        <x:v>0</x:v>
      </x:c>
      <x:c r="AB20" s="30"/>
    </x:row>
    <x:row r="21" ht="22" customHeight="1">
      <x:c r="A21" s="28"/>
      <x:c r="B21" s="28"/>
      <x:c r="C21" s="28"/>
      <x:c r="D21" s="28"/>
      <x:c r="E21" s="34"/>
      <x:c r="F21" s="34"/>
      <x:c r="G21" s="36"/>
      <x:c r="H21" s="36"/>
      <x:c r="I21" s="36"/>
      <x:c r="J21" s="36"/>
      <x:c r="K21" s="38" t="n">
        <x:f>IFERROR(G21*MIN(E21/F21,1),0)</x:f>
        <x:v>0</x:v>
      </x:c>
      <x:c r="L21" s="38" t="n">
        <x:f>IFERROR(H21*MIN(E21/F21,1),0)</x:f>
        <x:v>0</x:v>
      </x:c>
      <x:c r="M21" s="38" t="n">
        <x:f>IFERROR(I21*MIN(E21/F21,1),0)</x:f>
        <x:v>0</x:v>
      </x:c>
      <x:c r="N21" s="38" t="n">
        <x:f>IFERROR(J21*MIN(E21/F21,1),0)</x:f>
        <x:v>0</x:v>
      </x:c>
      <x:c r="O21" s="38" t="n">
        <x:f>SUM(K21:N21)</x:f>
        <x:v>0</x:v>
      </x:c>
      <x:c r="P21" s="30"/>
      <x:c r="Q21" s="30"/>
      <x:c r="R21" s="40" t="n">
        <x:f>IF(P21="Yes",ROUND(IF(Q21="Yes",K21,MIN(K21,'Assumptions'!$B$8))*'Assumptions'!$B$4,0),0)</x:f>
        <x:v>0</x:v>
      </x:c>
      <x:c r="S21" s="30"/>
      <x:c r="T21" s="40" t="n">
        <x:f>IF(AND(S21="Yes",O21&lt;='Assumptions'!$B$7),ROUNDUP(O21*'Assumptions'!$B$5,0),0)</x:f>
        <x:v>0</x:v>
      </x:c>
      <x:c r="U21" s="40"/>
      <x:c r="V21" s="40"/>
      <x:c r="W21" s="40"/>
      <x:c r="X21" s="40" t="n">
        <x:f>SUM(R21,T21:W21)</x:f>
        <x:v>0</x:v>
      </x:c>
      <x:c r="Y21" s="42" t="n">
        <x:f>MAX(O21-X21,0)</x:f>
        <x:v>0</x:v>
      </x:c>
      <x:c r="Z21" s="40" t="n">
        <x:f>IF(P21="Yes",ROUND(IF(Q21="Yes",K21,MIN(K21,'Assumptions'!$B$8))*'Assumptions'!$B$9,0),0)</x:f>
        <x:v>0</x:v>
      </x:c>
      <x:c r="AA21" s="40" t="n">
        <x:f>IF(AND(S21="Yes",O21&lt;='Assumptions'!$B$7),ROUNDUP(O21*'Assumptions'!$B$6,0),0)</x:f>
        <x:v>0</x:v>
      </x:c>
      <x:c r="AB21" s="30"/>
    </x:row>
    <x:row r="22" ht="22" customHeight="1">
      <x:c r="A22" s="28"/>
      <x:c r="B22" s="28"/>
      <x:c r="C22" s="28"/>
      <x:c r="D22" s="28"/>
      <x:c r="E22" s="34"/>
      <x:c r="F22" s="34"/>
      <x:c r="G22" s="36"/>
      <x:c r="H22" s="36"/>
      <x:c r="I22" s="36"/>
      <x:c r="J22" s="36"/>
      <x:c r="K22" s="38" t="n">
        <x:f>IFERROR(G22*MIN(E22/F22,1),0)</x:f>
        <x:v>0</x:v>
      </x:c>
      <x:c r="L22" s="38" t="n">
        <x:f>IFERROR(H22*MIN(E22/F22,1),0)</x:f>
        <x:v>0</x:v>
      </x:c>
      <x:c r="M22" s="38" t="n">
        <x:f>IFERROR(I22*MIN(E22/F22,1),0)</x:f>
        <x:v>0</x:v>
      </x:c>
      <x:c r="N22" s="38" t="n">
        <x:f>IFERROR(J22*MIN(E22/F22,1),0)</x:f>
        <x:v>0</x:v>
      </x:c>
      <x:c r="O22" s="38" t="n">
        <x:f>SUM(K22:N22)</x:f>
        <x:v>0</x:v>
      </x:c>
      <x:c r="P22" s="30"/>
      <x:c r="Q22" s="30"/>
      <x:c r="R22" s="40" t="n">
        <x:f>IF(P22="Yes",ROUND(IF(Q22="Yes",K22,MIN(K22,'Assumptions'!$B$8))*'Assumptions'!$B$4,0),0)</x:f>
        <x:v>0</x:v>
      </x:c>
      <x:c r="S22" s="30"/>
      <x:c r="T22" s="40" t="n">
        <x:f>IF(AND(S22="Yes",O22&lt;='Assumptions'!$B$7),ROUNDUP(O22*'Assumptions'!$B$5,0),0)</x:f>
        <x:v>0</x:v>
      </x:c>
      <x:c r="U22" s="40"/>
      <x:c r="V22" s="40"/>
      <x:c r="W22" s="40"/>
      <x:c r="X22" s="40" t="n">
        <x:f>SUM(R22,T22:W22)</x:f>
        <x:v>0</x:v>
      </x:c>
      <x:c r="Y22" s="42" t="n">
        <x:f>MAX(O22-X22,0)</x:f>
        <x:v>0</x:v>
      </x:c>
      <x:c r="Z22" s="40" t="n">
        <x:f>IF(P22="Yes",ROUND(IF(Q22="Yes",K22,MIN(K22,'Assumptions'!$B$8))*'Assumptions'!$B$9,0),0)</x:f>
        <x:v>0</x:v>
      </x:c>
      <x:c r="AA22" s="40" t="n">
        <x:f>IF(AND(S22="Yes",O22&lt;='Assumptions'!$B$7),ROUNDUP(O22*'Assumptions'!$B$6,0),0)</x:f>
        <x:v>0</x:v>
      </x:c>
      <x:c r="AB22" s="30"/>
    </x:row>
    <x:row r="23" ht="22" customHeight="1">
      <x:c r="A23" s="28"/>
      <x:c r="B23" s="28"/>
      <x:c r="C23" s="28"/>
      <x:c r="D23" s="28"/>
      <x:c r="E23" s="34"/>
      <x:c r="F23" s="34"/>
      <x:c r="G23" s="36"/>
      <x:c r="H23" s="36"/>
      <x:c r="I23" s="36"/>
      <x:c r="J23" s="36"/>
      <x:c r="K23" s="38" t="n">
        <x:f>IFERROR(G23*MIN(E23/F23,1),0)</x:f>
        <x:v>0</x:v>
      </x:c>
      <x:c r="L23" s="38" t="n">
        <x:f>IFERROR(H23*MIN(E23/F23,1),0)</x:f>
        <x:v>0</x:v>
      </x:c>
      <x:c r="M23" s="38" t="n">
        <x:f>IFERROR(I23*MIN(E23/F23,1),0)</x:f>
        <x:v>0</x:v>
      </x:c>
      <x:c r="N23" s="38" t="n">
        <x:f>IFERROR(J23*MIN(E23/F23,1),0)</x:f>
        <x:v>0</x:v>
      </x:c>
      <x:c r="O23" s="38" t="n">
        <x:f>SUM(K23:N23)</x:f>
        <x:v>0</x:v>
      </x:c>
      <x:c r="P23" s="30"/>
      <x:c r="Q23" s="30"/>
      <x:c r="R23" s="40" t="n">
        <x:f>IF(P23="Yes",ROUND(IF(Q23="Yes",K23,MIN(K23,'Assumptions'!$B$8))*'Assumptions'!$B$4,0),0)</x:f>
        <x:v>0</x:v>
      </x:c>
      <x:c r="S23" s="30"/>
      <x:c r="T23" s="40" t="n">
        <x:f>IF(AND(S23="Yes",O23&lt;='Assumptions'!$B$7),ROUNDUP(O23*'Assumptions'!$B$5,0),0)</x:f>
        <x:v>0</x:v>
      </x:c>
      <x:c r="U23" s="40"/>
      <x:c r="V23" s="40"/>
      <x:c r="W23" s="40"/>
      <x:c r="X23" s="40" t="n">
        <x:f>SUM(R23,T23:W23)</x:f>
        <x:v>0</x:v>
      </x:c>
      <x:c r="Y23" s="42" t="n">
        <x:f>MAX(O23-X23,0)</x:f>
        <x:v>0</x:v>
      </x:c>
      <x:c r="Z23" s="40" t="n">
        <x:f>IF(P23="Yes",ROUND(IF(Q23="Yes",K23,MIN(K23,'Assumptions'!$B$8))*'Assumptions'!$B$9,0),0)</x:f>
        <x:v>0</x:v>
      </x:c>
      <x:c r="AA23" s="40" t="n">
        <x:f>IF(AND(S23="Yes",O23&lt;='Assumptions'!$B$7),ROUNDUP(O23*'Assumptions'!$B$6,0),0)</x:f>
        <x:v>0</x:v>
      </x:c>
      <x:c r="AB23" s="30"/>
    </x:row>
    <x:row r="24" ht="22" customHeight="1">
      <x:c r="A24" s="28"/>
      <x:c r="B24" s="28"/>
      <x:c r="C24" s="28"/>
      <x:c r="D24" s="28"/>
      <x:c r="E24" s="34"/>
      <x:c r="F24" s="34"/>
      <x:c r="G24" s="36"/>
      <x:c r="H24" s="36"/>
      <x:c r="I24" s="36"/>
      <x:c r="J24" s="36"/>
      <x:c r="K24" s="38" t="n">
        <x:f>IFERROR(G24*MIN(E24/F24,1),0)</x:f>
        <x:v>0</x:v>
      </x:c>
      <x:c r="L24" s="38" t="n">
        <x:f>IFERROR(H24*MIN(E24/F24,1),0)</x:f>
        <x:v>0</x:v>
      </x:c>
      <x:c r="M24" s="38" t="n">
        <x:f>IFERROR(I24*MIN(E24/F24,1),0)</x:f>
        <x:v>0</x:v>
      </x:c>
      <x:c r="N24" s="38" t="n">
        <x:f>IFERROR(J24*MIN(E24/F24,1),0)</x:f>
        <x:v>0</x:v>
      </x:c>
      <x:c r="O24" s="38" t="n">
        <x:f>SUM(K24:N24)</x:f>
        <x:v>0</x:v>
      </x:c>
      <x:c r="P24" s="30"/>
      <x:c r="Q24" s="30"/>
      <x:c r="R24" s="40" t="n">
        <x:f>IF(P24="Yes",ROUND(IF(Q24="Yes",K24,MIN(K24,'Assumptions'!$B$8))*'Assumptions'!$B$4,0),0)</x:f>
        <x:v>0</x:v>
      </x:c>
      <x:c r="S24" s="30"/>
      <x:c r="T24" s="40" t="n">
        <x:f>IF(AND(S24="Yes",O24&lt;='Assumptions'!$B$7),ROUNDUP(O24*'Assumptions'!$B$5,0),0)</x:f>
        <x:v>0</x:v>
      </x:c>
      <x:c r="U24" s="40"/>
      <x:c r="V24" s="40"/>
      <x:c r="W24" s="40"/>
      <x:c r="X24" s="40" t="n">
        <x:f>SUM(R24,T24:W24)</x:f>
        <x:v>0</x:v>
      </x:c>
      <x:c r="Y24" s="42" t="n">
        <x:f>MAX(O24-X24,0)</x:f>
        <x:v>0</x:v>
      </x:c>
      <x:c r="Z24" s="40" t="n">
        <x:f>IF(P24="Yes",ROUND(IF(Q24="Yes",K24,MIN(K24,'Assumptions'!$B$8))*'Assumptions'!$B$9,0),0)</x:f>
        <x:v>0</x:v>
      </x:c>
      <x:c r="AA24" s="40" t="n">
        <x:f>IF(AND(S24="Yes",O24&lt;='Assumptions'!$B$7),ROUNDUP(O24*'Assumptions'!$B$6,0),0)</x:f>
        <x:v>0</x:v>
      </x:c>
      <x:c r="AB24" s="30"/>
    </x:row>
    <x:row r="25" ht="22" customHeight="1">
      <x:c r="A25" s="28"/>
      <x:c r="B25" s="28"/>
      <x:c r="C25" s="28"/>
      <x:c r="D25" s="28"/>
      <x:c r="E25" s="34"/>
      <x:c r="F25" s="34"/>
      <x:c r="G25" s="36"/>
      <x:c r="H25" s="36"/>
      <x:c r="I25" s="36"/>
      <x:c r="J25" s="36"/>
      <x:c r="K25" s="38" t="n">
        <x:f>IFERROR(G25*MIN(E25/F25,1),0)</x:f>
        <x:v>0</x:v>
      </x:c>
      <x:c r="L25" s="38" t="n">
        <x:f>IFERROR(H25*MIN(E25/F25,1),0)</x:f>
        <x:v>0</x:v>
      </x:c>
      <x:c r="M25" s="38" t="n">
        <x:f>IFERROR(I25*MIN(E25/F25,1),0)</x:f>
        <x:v>0</x:v>
      </x:c>
      <x:c r="N25" s="38" t="n">
        <x:f>IFERROR(J25*MIN(E25/F25,1),0)</x:f>
        <x:v>0</x:v>
      </x:c>
      <x:c r="O25" s="38" t="n">
        <x:f>SUM(K25:N25)</x:f>
        <x:v>0</x:v>
      </x:c>
      <x:c r="P25" s="30"/>
      <x:c r="Q25" s="30"/>
      <x:c r="R25" s="40" t="n">
        <x:f>IF(P25="Yes",ROUND(IF(Q25="Yes",K25,MIN(K25,'Assumptions'!$B$8))*'Assumptions'!$B$4,0),0)</x:f>
        <x:v>0</x:v>
      </x:c>
      <x:c r="S25" s="30"/>
      <x:c r="T25" s="40" t="n">
        <x:f>IF(AND(S25="Yes",O25&lt;='Assumptions'!$B$7),ROUNDUP(O25*'Assumptions'!$B$5,0),0)</x:f>
        <x:v>0</x:v>
      </x:c>
      <x:c r="U25" s="40"/>
      <x:c r="V25" s="40"/>
      <x:c r="W25" s="40"/>
      <x:c r="X25" s="40" t="n">
        <x:f>SUM(R25,T25:W25)</x:f>
        <x:v>0</x:v>
      </x:c>
      <x:c r="Y25" s="42" t="n">
        <x:f>MAX(O25-X25,0)</x:f>
        <x:v>0</x:v>
      </x:c>
      <x:c r="Z25" s="40" t="n">
        <x:f>IF(P25="Yes",ROUND(IF(Q25="Yes",K25,MIN(K25,'Assumptions'!$B$8))*'Assumptions'!$B$9,0),0)</x:f>
        <x:v>0</x:v>
      </x:c>
      <x:c r="AA25" s="40" t="n">
        <x:f>IF(AND(S25="Yes",O25&lt;='Assumptions'!$B$7),ROUNDUP(O25*'Assumptions'!$B$6,0),0)</x:f>
        <x:v>0</x:v>
      </x:c>
      <x:c r="AB25" s="30"/>
    </x:row>
    <x:row r="26" ht="22" customHeight="1">
      <x:c r="A26" s="28"/>
      <x:c r="B26" s="28"/>
      <x:c r="C26" s="28"/>
      <x:c r="D26" s="28"/>
      <x:c r="E26" s="34"/>
      <x:c r="F26" s="34"/>
      <x:c r="G26" s="36"/>
      <x:c r="H26" s="36"/>
      <x:c r="I26" s="36"/>
      <x:c r="J26" s="36"/>
      <x:c r="K26" s="38" t="n">
        <x:f>IFERROR(G26*MIN(E26/F26,1),0)</x:f>
        <x:v>0</x:v>
      </x:c>
      <x:c r="L26" s="38" t="n">
        <x:f>IFERROR(H26*MIN(E26/F26,1),0)</x:f>
        <x:v>0</x:v>
      </x:c>
      <x:c r="M26" s="38" t="n">
        <x:f>IFERROR(I26*MIN(E26/F26,1),0)</x:f>
        <x:v>0</x:v>
      </x:c>
      <x:c r="N26" s="38" t="n">
        <x:f>IFERROR(J26*MIN(E26/F26,1),0)</x:f>
        <x:v>0</x:v>
      </x:c>
      <x:c r="O26" s="38" t="n">
        <x:f>SUM(K26:N26)</x:f>
        <x:v>0</x:v>
      </x:c>
      <x:c r="P26" s="30"/>
      <x:c r="Q26" s="30"/>
      <x:c r="R26" s="40" t="n">
        <x:f>IF(P26="Yes",ROUND(IF(Q26="Yes",K26,MIN(K26,'Assumptions'!$B$8))*'Assumptions'!$B$4,0),0)</x:f>
        <x:v>0</x:v>
      </x:c>
      <x:c r="S26" s="30"/>
      <x:c r="T26" s="40" t="n">
        <x:f>IF(AND(S26="Yes",O26&lt;='Assumptions'!$B$7),ROUNDUP(O26*'Assumptions'!$B$5,0),0)</x:f>
        <x:v>0</x:v>
      </x:c>
      <x:c r="U26" s="40"/>
      <x:c r="V26" s="40"/>
      <x:c r="W26" s="40"/>
      <x:c r="X26" s="40" t="n">
        <x:f>SUM(R26,T26:W26)</x:f>
        <x:v>0</x:v>
      </x:c>
      <x:c r="Y26" s="42" t="n">
        <x:f>MAX(O26-X26,0)</x:f>
        <x:v>0</x:v>
      </x:c>
      <x:c r="Z26" s="40" t="n">
        <x:f>IF(P26="Yes",ROUND(IF(Q26="Yes",K26,MIN(K26,'Assumptions'!$B$8))*'Assumptions'!$B$9,0),0)</x:f>
        <x:v>0</x:v>
      </x:c>
      <x:c r="AA26" s="40" t="n">
        <x:f>IF(AND(S26="Yes",O26&lt;='Assumptions'!$B$7),ROUNDUP(O26*'Assumptions'!$B$6,0),0)</x:f>
        <x:v>0</x:v>
      </x:c>
      <x:c r="AB26" s="30"/>
    </x:row>
    <x:row r="27" ht="22" customHeight="1">
      <x:c r="A27" s="28"/>
      <x:c r="B27" s="28"/>
      <x:c r="C27" s="28"/>
      <x:c r="D27" s="28"/>
      <x:c r="E27" s="34"/>
      <x:c r="F27" s="34"/>
      <x:c r="G27" s="36"/>
      <x:c r="H27" s="36"/>
      <x:c r="I27" s="36"/>
      <x:c r="J27" s="36"/>
      <x:c r="K27" s="38" t="n">
        <x:f>IFERROR(G27*MIN(E27/F27,1),0)</x:f>
        <x:v>0</x:v>
      </x:c>
      <x:c r="L27" s="38" t="n">
        <x:f>IFERROR(H27*MIN(E27/F27,1),0)</x:f>
        <x:v>0</x:v>
      </x:c>
      <x:c r="M27" s="38" t="n">
        <x:f>IFERROR(I27*MIN(E27/F27,1),0)</x:f>
        <x:v>0</x:v>
      </x:c>
      <x:c r="N27" s="38" t="n">
        <x:f>IFERROR(J27*MIN(E27/F27,1),0)</x:f>
        <x:v>0</x:v>
      </x:c>
      <x:c r="O27" s="38" t="n">
        <x:f>SUM(K27:N27)</x:f>
        <x:v>0</x:v>
      </x:c>
      <x:c r="P27" s="30"/>
      <x:c r="Q27" s="30"/>
      <x:c r="R27" s="40" t="n">
        <x:f>IF(P27="Yes",ROUND(IF(Q27="Yes",K27,MIN(K27,'Assumptions'!$B$8))*'Assumptions'!$B$4,0),0)</x:f>
        <x:v>0</x:v>
      </x:c>
      <x:c r="S27" s="30"/>
      <x:c r="T27" s="40" t="n">
        <x:f>IF(AND(S27="Yes",O27&lt;='Assumptions'!$B$7),ROUNDUP(O27*'Assumptions'!$B$5,0),0)</x:f>
        <x:v>0</x:v>
      </x:c>
      <x:c r="U27" s="40"/>
      <x:c r="V27" s="40"/>
      <x:c r="W27" s="40"/>
      <x:c r="X27" s="40" t="n">
        <x:f>SUM(R27,T27:W27)</x:f>
        <x:v>0</x:v>
      </x:c>
      <x:c r="Y27" s="42" t="n">
        <x:f>MAX(O27-X27,0)</x:f>
        <x:v>0</x:v>
      </x:c>
      <x:c r="Z27" s="40" t="n">
        <x:f>IF(P27="Yes",ROUND(IF(Q27="Yes",K27,MIN(K27,'Assumptions'!$B$8))*'Assumptions'!$B$9,0),0)</x:f>
        <x:v>0</x:v>
      </x:c>
      <x:c r="AA27" s="40" t="n">
        <x:f>IF(AND(S27="Yes",O27&lt;='Assumptions'!$B$7),ROUNDUP(O27*'Assumptions'!$B$6,0),0)</x:f>
        <x:v>0</x:v>
      </x:c>
      <x:c r="AB27" s="30"/>
    </x:row>
    <x:row r="28" ht="22" customHeight="1">
      <x:c r="A28" s="28"/>
      <x:c r="B28" s="28"/>
      <x:c r="C28" s="28"/>
      <x:c r="D28" s="28"/>
      <x:c r="E28" s="34"/>
      <x:c r="F28" s="34"/>
      <x:c r="G28" s="36"/>
      <x:c r="H28" s="36"/>
      <x:c r="I28" s="36"/>
      <x:c r="J28" s="36"/>
      <x:c r="K28" s="38" t="n">
        <x:f>IFERROR(G28*MIN(E28/F28,1),0)</x:f>
        <x:v>0</x:v>
      </x:c>
      <x:c r="L28" s="38" t="n">
        <x:f>IFERROR(H28*MIN(E28/F28,1),0)</x:f>
        <x:v>0</x:v>
      </x:c>
      <x:c r="M28" s="38" t="n">
        <x:f>IFERROR(I28*MIN(E28/F28,1),0)</x:f>
        <x:v>0</x:v>
      </x:c>
      <x:c r="N28" s="38" t="n">
        <x:f>IFERROR(J28*MIN(E28/F28,1),0)</x:f>
        <x:v>0</x:v>
      </x:c>
      <x:c r="O28" s="38" t="n">
        <x:f>SUM(K28:N28)</x:f>
        <x:v>0</x:v>
      </x:c>
      <x:c r="P28" s="30"/>
      <x:c r="Q28" s="30"/>
      <x:c r="R28" s="40" t="n">
        <x:f>IF(P28="Yes",ROUND(IF(Q28="Yes",K28,MIN(K28,'Assumptions'!$B$8))*'Assumptions'!$B$4,0),0)</x:f>
        <x:v>0</x:v>
      </x:c>
      <x:c r="S28" s="30"/>
      <x:c r="T28" s="40" t="n">
        <x:f>IF(AND(S28="Yes",O28&lt;='Assumptions'!$B$7),ROUNDUP(O28*'Assumptions'!$B$5,0),0)</x:f>
        <x:v>0</x:v>
      </x:c>
      <x:c r="U28" s="40"/>
      <x:c r="V28" s="40"/>
      <x:c r="W28" s="40"/>
      <x:c r="X28" s="40" t="n">
        <x:f>SUM(R28,T28:W28)</x:f>
        <x:v>0</x:v>
      </x:c>
      <x:c r="Y28" s="42" t="n">
        <x:f>MAX(O28-X28,0)</x:f>
        <x:v>0</x:v>
      </x:c>
      <x:c r="Z28" s="40" t="n">
        <x:f>IF(P28="Yes",ROUND(IF(Q28="Yes",K28,MIN(K28,'Assumptions'!$B$8))*'Assumptions'!$B$9,0),0)</x:f>
        <x:v>0</x:v>
      </x:c>
      <x:c r="AA28" s="40" t="n">
        <x:f>IF(AND(S28="Yes",O28&lt;='Assumptions'!$B$7),ROUNDUP(O28*'Assumptions'!$B$6,0),0)</x:f>
        <x:v>0</x:v>
      </x:c>
      <x:c r="AB28" s="30"/>
    </x:row>
    <x:row r="29" ht="22" customHeight="1">
      <x:c r="A29" s="28"/>
      <x:c r="B29" s="28"/>
      <x:c r="C29" s="28"/>
      <x:c r="D29" s="28"/>
      <x:c r="E29" s="34"/>
      <x:c r="F29" s="34"/>
      <x:c r="G29" s="36"/>
      <x:c r="H29" s="36"/>
      <x:c r="I29" s="36"/>
      <x:c r="J29" s="36"/>
      <x:c r="K29" s="38" t="n">
        <x:f>IFERROR(G29*MIN(E29/F29,1),0)</x:f>
        <x:v>0</x:v>
      </x:c>
      <x:c r="L29" s="38" t="n">
        <x:f>IFERROR(H29*MIN(E29/F29,1),0)</x:f>
        <x:v>0</x:v>
      </x:c>
      <x:c r="M29" s="38" t="n">
        <x:f>IFERROR(I29*MIN(E29/F29,1),0)</x:f>
        <x:v>0</x:v>
      </x:c>
      <x:c r="N29" s="38" t="n">
        <x:f>IFERROR(J29*MIN(E29/F29,1),0)</x:f>
        <x:v>0</x:v>
      </x:c>
      <x:c r="O29" s="38" t="n">
        <x:f>SUM(K29:N29)</x:f>
        <x:v>0</x:v>
      </x:c>
      <x:c r="P29" s="30"/>
      <x:c r="Q29" s="30"/>
      <x:c r="R29" s="40" t="n">
        <x:f>IF(P29="Yes",ROUND(IF(Q29="Yes",K29,MIN(K29,'Assumptions'!$B$8))*'Assumptions'!$B$4,0),0)</x:f>
        <x:v>0</x:v>
      </x:c>
      <x:c r="S29" s="30"/>
      <x:c r="T29" s="40" t="n">
        <x:f>IF(AND(S29="Yes",O29&lt;='Assumptions'!$B$7),ROUNDUP(O29*'Assumptions'!$B$5,0),0)</x:f>
        <x:v>0</x:v>
      </x:c>
      <x:c r="U29" s="40"/>
      <x:c r="V29" s="40"/>
      <x:c r="W29" s="40"/>
      <x:c r="X29" s="40" t="n">
        <x:f>SUM(R29,T29:W29)</x:f>
        <x:v>0</x:v>
      </x:c>
      <x:c r="Y29" s="42" t="n">
        <x:f>MAX(O29-X29,0)</x:f>
        <x:v>0</x:v>
      </x:c>
      <x:c r="Z29" s="40" t="n">
        <x:f>IF(P29="Yes",ROUND(IF(Q29="Yes",K29,MIN(K29,'Assumptions'!$B$8))*'Assumptions'!$B$9,0),0)</x:f>
        <x:v>0</x:v>
      </x:c>
      <x:c r="AA29" s="40" t="n">
        <x:f>IF(AND(S29="Yes",O29&lt;='Assumptions'!$B$7),ROUNDUP(O29*'Assumptions'!$B$6,0),0)</x:f>
        <x:v>0</x:v>
      </x:c>
      <x:c r="AB29" s="30"/>
    </x:row>
    <x:row r="30" ht="22" customHeight="1">
      <x:c r="A30" s="28"/>
      <x:c r="B30" s="28"/>
      <x:c r="C30" s="28"/>
      <x:c r="D30" s="28"/>
      <x:c r="E30" s="34"/>
      <x:c r="F30" s="34"/>
      <x:c r="G30" s="36"/>
      <x:c r="H30" s="36"/>
      <x:c r="I30" s="36"/>
      <x:c r="J30" s="36"/>
      <x:c r="K30" s="38" t="n">
        <x:f>IFERROR(G30*MIN(E30/F30,1),0)</x:f>
        <x:v>0</x:v>
      </x:c>
      <x:c r="L30" s="38" t="n">
        <x:f>IFERROR(H30*MIN(E30/F30,1),0)</x:f>
        <x:v>0</x:v>
      </x:c>
      <x:c r="M30" s="38" t="n">
        <x:f>IFERROR(I30*MIN(E30/F30,1),0)</x:f>
        <x:v>0</x:v>
      </x:c>
      <x:c r="N30" s="38" t="n">
        <x:f>IFERROR(J30*MIN(E30/F30,1),0)</x:f>
        <x:v>0</x:v>
      </x:c>
      <x:c r="O30" s="38" t="n">
        <x:f>SUM(K30:N30)</x:f>
        <x:v>0</x:v>
      </x:c>
      <x:c r="P30" s="30"/>
      <x:c r="Q30" s="30"/>
      <x:c r="R30" s="40" t="n">
        <x:f>IF(P30="Yes",ROUND(IF(Q30="Yes",K30,MIN(K30,'Assumptions'!$B$8))*'Assumptions'!$B$4,0),0)</x:f>
        <x:v>0</x:v>
      </x:c>
      <x:c r="S30" s="30"/>
      <x:c r="T30" s="40" t="n">
        <x:f>IF(AND(S30="Yes",O30&lt;='Assumptions'!$B$7),ROUNDUP(O30*'Assumptions'!$B$5,0),0)</x:f>
        <x:v>0</x:v>
      </x:c>
      <x:c r="U30" s="40"/>
      <x:c r="V30" s="40"/>
      <x:c r="W30" s="40"/>
      <x:c r="X30" s="40" t="n">
        <x:f>SUM(R30,T30:W30)</x:f>
        <x:v>0</x:v>
      </x:c>
      <x:c r="Y30" s="42" t="n">
        <x:f>MAX(O30-X30,0)</x:f>
        <x:v>0</x:v>
      </x:c>
      <x:c r="Z30" s="40" t="n">
        <x:f>IF(P30="Yes",ROUND(IF(Q30="Yes",K30,MIN(K30,'Assumptions'!$B$8))*'Assumptions'!$B$9,0),0)</x:f>
        <x:v>0</x:v>
      </x:c>
      <x:c r="AA30" s="40" t="n">
        <x:f>IF(AND(S30="Yes",O30&lt;='Assumptions'!$B$7),ROUNDUP(O30*'Assumptions'!$B$6,0),0)</x:f>
        <x:v>0</x:v>
      </x:c>
      <x:c r="AB30" s="30"/>
    </x:row>
    <x:row r="31" ht="22" customHeight="1">
      <x:c r="A31" s="28"/>
      <x:c r="B31" s="28"/>
      <x:c r="C31" s="28"/>
      <x:c r="D31" s="28"/>
      <x:c r="E31" s="34"/>
      <x:c r="F31" s="34"/>
      <x:c r="G31" s="36"/>
      <x:c r="H31" s="36"/>
      <x:c r="I31" s="36"/>
      <x:c r="J31" s="36"/>
      <x:c r="K31" s="38" t="n">
        <x:f>IFERROR(G31*MIN(E31/F31,1),0)</x:f>
        <x:v>0</x:v>
      </x:c>
      <x:c r="L31" s="38" t="n">
        <x:f>IFERROR(H31*MIN(E31/F31,1),0)</x:f>
        <x:v>0</x:v>
      </x:c>
      <x:c r="M31" s="38" t="n">
        <x:f>IFERROR(I31*MIN(E31/F31,1),0)</x:f>
        <x:v>0</x:v>
      </x:c>
      <x:c r="N31" s="38" t="n">
        <x:f>IFERROR(J31*MIN(E31/F31,1),0)</x:f>
        <x:v>0</x:v>
      </x:c>
      <x:c r="O31" s="38" t="n">
        <x:f>SUM(K31:N31)</x:f>
        <x:v>0</x:v>
      </x:c>
      <x:c r="P31" s="30"/>
      <x:c r="Q31" s="30"/>
      <x:c r="R31" s="40" t="n">
        <x:f>IF(P31="Yes",ROUND(IF(Q31="Yes",K31,MIN(K31,'Assumptions'!$B$8))*'Assumptions'!$B$4,0),0)</x:f>
        <x:v>0</x:v>
      </x:c>
      <x:c r="S31" s="30"/>
      <x:c r="T31" s="40" t="n">
        <x:f>IF(AND(S31="Yes",O31&lt;='Assumptions'!$B$7),ROUNDUP(O31*'Assumptions'!$B$5,0),0)</x:f>
        <x:v>0</x:v>
      </x:c>
      <x:c r="U31" s="40"/>
      <x:c r="V31" s="40"/>
      <x:c r="W31" s="40"/>
      <x:c r="X31" s="40" t="n">
        <x:f>SUM(R31,T31:W31)</x:f>
        <x:v>0</x:v>
      </x:c>
      <x:c r="Y31" s="42" t="n">
        <x:f>MAX(O31-X31,0)</x:f>
        <x:v>0</x:v>
      </x:c>
      <x:c r="Z31" s="40" t="n">
        <x:f>IF(P31="Yes",ROUND(IF(Q31="Yes",K31,MIN(K31,'Assumptions'!$B$8))*'Assumptions'!$B$9,0),0)</x:f>
        <x:v>0</x:v>
      </x:c>
      <x:c r="AA31" s="40" t="n">
        <x:f>IF(AND(S31="Yes",O31&lt;='Assumptions'!$B$7),ROUNDUP(O31*'Assumptions'!$B$6,0),0)</x:f>
        <x:v>0</x:v>
      </x:c>
      <x:c r="AB31" s="30"/>
    </x:row>
    <x:row r="32" ht="22" customHeight="1">
      <x:c r="A32" s="28"/>
      <x:c r="B32" s="28"/>
      <x:c r="C32" s="28"/>
      <x:c r="D32" s="28"/>
      <x:c r="E32" s="34"/>
      <x:c r="F32" s="34"/>
      <x:c r="G32" s="36"/>
      <x:c r="H32" s="36"/>
      <x:c r="I32" s="36"/>
      <x:c r="J32" s="36"/>
      <x:c r="K32" s="38" t="n">
        <x:f>IFERROR(G32*MIN(E32/F32,1),0)</x:f>
        <x:v>0</x:v>
      </x:c>
      <x:c r="L32" s="38" t="n">
        <x:f>IFERROR(H32*MIN(E32/F32,1),0)</x:f>
        <x:v>0</x:v>
      </x:c>
      <x:c r="M32" s="38" t="n">
        <x:f>IFERROR(I32*MIN(E32/F32,1),0)</x:f>
        <x:v>0</x:v>
      </x:c>
      <x:c r="N32" s="38" t="n">
        <x:f>IFERROR(J32*MIN(E32/F32,1),0)</x:f>
        <x:v>0</x:v>
      </x:c>
      <x:c r="O32" s="38" t="n">
        <x:f>SUM(K32:N32)</x:f>
        <x:v>0</x:v>
      </x:c>
      <x:c r="P32" s="30"/>
      <x:c r="Q32" s="30"/>
      <x:c r="R32" s="40" t="n">
        <x:f>IF(P32="Yes",ROUND(IF(Q32="Yes",K32,MIN(K32,'Assumptions'!$B$8))*'Assumptions'!$B$4,0),0)</x:f>
        <x:v>0</x:v>
      </x:c>
      <x:c r="S32" s="30"/>
      <x:c r="T32" s="40" t="n">
        <x:f>IF(AND(S32="Yes",O32&lt;='Assumptions'!$B$7),ROUNDUP(O32*'Assumptions'!$B$5,0),0)</x:f>
        <x:v>0</x:v>
      </x:c>
      <x:c r="U32" s="40"/>
      <x:c r="V32" s="40"/>
      <x:c r="W32" s="40"/>
      <x:c r="X32" s="40" t="n">
        <x:f>SUM(R32,T32:W32)</x:f>
        <x:v>0</x:v>
      </x:c>
      <x:c r="Y32" s="42" t="n">
        <x:f>MAX(O32-X32,0)</x:f>
        <x:v>0</x:v>
      </x:c>
      <x:c r="Z32" s="40" t="n">
        <x:f>IF(P32="Yes",ROUND(IF(Q32="Yes",K32,MIN(K32,'Assumptions'!$B$8))*'Assumptions'!$B$9,0),0)</x:f>
        <x:v>0</x:v>
      </x:c>
      <x:c r="AA32" s="40" t="n">
        <x:f>IF(AND(S32="Yes",O32&lt;='Assumptions'!$B$7),ROUNDUP(O32*'Assumptions'!$B$6,0),0)</x:f>
        <x:v>0</x:v>
      </x:c>
      <x:c r="AB32" s="30"/>
    </x:row>
    <x:row r="33" ht="22" customHeight="1">
      <x:c r="A33" s="28"/>
      <x:c r="B33" s="28"/>
      <x:c r="C33" s="28"/>
      <x:c r="D33" s="28"/>
      <x:c r="E33" s="34"/>
      <x:c r="F33" s="34"/>
      <x:c r="G33" s="36"/>
      <x:c r="H33" s="36"/>
      <x:c r="I33" s="36"/>
      <x:c r="J33" s="36"/>
      <x:c r="K33" s="38" t="n">
        <x:f>IFERROR(G33*MIN(E33/F33,1),0)</x:f>
        <x:v>0</x:v>
      </x:c>
      <x:c r="L33" s="38" t="n">
        <x:f>IFERROR(H33*MIN(E33/F33,1),0)</x:f>
        <x:v>0</x:v>
      </x:c>
      <x:c r="M33" s="38" t="n">
        <x:f>IFERROR(I33*MIN(E33/F33,1),0)</x:f>
        <x:v>0</x:v>
      </x:c>
      <x:c r="N33" s="38" t="n">
        <x:f>IFERROR(J33*MIN(E33/F33,1),0)</x:f>
        <x:v>0</x:v>
      </x:c>
      <x:c r="O33" s="38" t="n">
        <x:f>SUM(K33:N33)</x:f>
        <x:v>0</x:v>
      </x:c>
      <x:c r="P33" s="30"/>
      <x:c r="Q33" s="30"/>
      <x:c r="R33" s="40" t="n">
        <x:f>IF(P33="Yes",ROUND(IF(Q33="Yes",K33,MIN(K33,'Assumptions'!$B$8))*'Assumptions'!$B$4,0),0)</x:f>
        <x:v>0</x:v>
      </x:c>
      <x:c r="S33" s="30"/>
      <x:c r="T33" s="40" t="n">
        <x:f>IF(AND(S33="Yes",O33&lt;='Assumptions'!$B$7),ROUNDUP(O33*'Assumptions'!$B$5,0),0)</x:f>
        <x:v>0</x:v>
      </x:c>
      <x:c r="U33" s="40"/>
      <x:c r="V33" s="40"/>
      <x:c r="W33" s="40"/>
      <x:c r="X33" s="40" t="n">
        <x:f>SUM(R33,T33:W33)</x:f>
        <x:v>0</x:v>
      </x:c>
      <x:c r="Y33" s="42" t="n">
        <x:f>MAX(O33-X33,0)</x:f>
        <x:v>0</x:v>
      </x:c>
      <x:c r="Z33" s="40" t="n">
        <x:f>IF(P33="Yes",ROUND(IF(Q33="Yes",K33,MIN(K33,'Assumptions'!$B$8))*'Assumptions'!$B$9,0),0)</x:f>
        <x:v>0</x:v>
      </x:c>
      <x:c r="AA33" s="40" t="n">
        <x:f>IF(AND(S33="Yes",O33&lt;='Assumptions'!$B$7),ROUNDUP(O33*'Assumptions'!$B$6,0),0)</x:f>
        <x:v>0</x:v>
      </x:c>
      <x:c r="AB33" s="30"/>
    </x:row>
    <x:row r="34" ht="22" customHeight="1">
      <x:c r="A34" s="28"/>
      <x:c r="B34" s="28"/>
      <x:c r="C34" s="28"/>
      <x:c r="D34" s="28"/>
      <x:c r="E34" s="34"/>
      <x:c r="F34" s="34"/>
      <x:c r="G34" s="36"/>
      <x:c r="H34" s="36"/>
      <x:c r="I34" s="36"/>
      <x:c r="J34" s="36"/>
      <x:c r="K34" s="38" t="n">
        <x:f>IFERROR(G34*MIN(E34/F34,1),0)</x:f>
        <x:v>0</x:v>
      </x:c>
      <x:c r="L34" s="38" t="n">
        <x:f>IFERROR(H34*MIN(E34/F34,1),0)</x:f>
        <x:v>0</x:v>
      </x:c>
      <x:c r="M34" s="38" t="n">
        <x:f>IFERROR(I34*MIN(E34/F34,1),0)</x:f>
        <x:v>0</x:v>
      </x:c>
      <x:c r="N34" s="38" t="n">
        <x:f>IFERROR(J34*MIN(E34/F34,1),0)</x:f>
        <x:v>0</x:v>
      </x:c>
      <x:c r="O34" s="38" t="n">
        <x:f>SUM(K34:N34)</x:f>
        <x:v>0</x:v>
      </x:c>
      <x:c r="P34" s="30"/>
      <x:c r="Q34" s="30"/>
      <x:c r="R34" s="40" t="n">
        <x:f>IF(P34="Yes",ROUND(IF(Q34="Yes",K34,MIN(K34,'Assumptions'!$B$8))*'Assumptions'!$B$4,0),0)</x:f>
        <x:v>0</x:v>
      </x:c>
      <x:c r="S34" s="30"/>
      <x:c r="T34" s="40" t="n">
        <x:f>IF(AND(S34="Yes",O34&lt;='Assumptions'!$B$7),ROUNDUP(O34*'Assumptions'!$B$5,0),0)</x:f>
        <x:v>0</x:v>
      </x:c>
      <x:c r="U34" s="40"/>
      <x:c r="V34" s="40"/>
      <x:c r="W34" s="40"/>
      <x:c r="X34" s="40" t="n">
        <x:f>SUM(R34,T34:W34)</x:f>
        <x:v>0</x:v>
      </x:c>
      <x:c r="Y34" s="42" t="n">
        <x:f>MAX(O34-X34,0)</x:f>
        <x:v>0</x:v>
      </x:c>
      <x:c r="Z34" s="40" t="n">
        <x:f>IF(P34="Yes",ROUND(IF(Q34="Yes",K34,MIN(K34,'Assumptions'!$B$8))*'Assumptions'!$B$9,0),0)</x:f>
        <x:v>0</x:v>
      </x:c>
      <x:c r="AA34" s="40" t="n">
        <x:f>IF(AND(S34="Yes",O34&lt;='Assumptions'!$B$7),ROUNDUP(O34*'Assumptions'!$B$6,0),0)</x:f>
        <x:v>0</x:v>
      </x:c>
      <x:c r="AB34" s="30"/>
    </x:row>
    <x:row r="35" ht="22" customHeight="1">
      <x:c r="A35" s="28"/>
      <x:c r="B35" s="28"/>
      <x:c r="C35" s="28"/>
      <x:c r="D35" s="28"/>
      <x:c r="E35" s="34"/>
      <x:c r="F35" s="34"/>
      <x:c r="G35" s="36"/>
      <x:c r="H35" s="36"/>
      <x:c r="I35" s="36"/>
      <x:c r="J35" s="36"/>
      <x:c r="K35" s="38" t="n">
        <x:f>IFERROR(G35*MIN(E35/F35,1),0)</x:f>
        <x:v>0</x:v>
      </x:c>
      <x:c r="L35" s="38" t="n">
        <x:f>IFERROR(H35*MIN(E35/F35,1),0)</x:f>
        <x:v>0</x:v>
      </x:c>
      <x:c r="M35" s="38" t="n">
        <x:f>IFERROR(I35*MIN(E35/F35,1),0)</x:f>
        <x:v>0</x:v>
      </x:c>
      <x:c r="N35" s="38" t="n">
        <x:f>IFERROR(J35*MIN(E35/F35,1),0)</x:f>
        <x:v>0</x:v>
      </x:c>
      <x:c r="O35" s="38" t="n">
        <x:f>SUM(K35:N35)</x:f>
        <x:v>0</x:v>
      </x:c>
      <x:c r="P35" s="30"/>
      <x:c r="Q35" s="30"/>
      <x:c r="R35" s="40" t="n">
        <x:f>IF(P35="Yes",ROUND(IF(Q35="Yes",K35,MIN(K35,'Assumptions'!$B$8))*'Assumptions'!$B$4,0),0)</x:f>
        <x:v>0</x:v>
      </x:c>
      <x:c r="S35" s="30"/>
      <x:c r="T35" s="40" t="n">
        <x:f>IF(AND(S35="Yes",O35&lt;='Assumptions'!$B$7),ROUNDUP(O35*'Assumptions'!$B$5,0),0)</x:f>
        <x:v>0</x:v>
      </x:c>
      <x:c r="U35" s="40"/>
      <x:c r="V35" s="40"/>
      <x:c r="W35" s="40"/>
      <x:c r="X35" s="40" t="n">
        <x:f>SUM(R35,T35:W35)</x:f>
        <x:v>0</x:v>
      </x:c>
      <x:c r="Y35" s="42" t="n">
        <x:f>MAX(O35-X35,0)</x:f>
        <x:v>0</x:v>
      </x:c>
      <x:c r="Z35" s="40" t="n">
        <x:f>IF(P35="Yes",ROUND(IF(Q35="Yes",K35,MIN(K35,'Assumptions'!$B$8))*'Assumptions'!$B$9,0),0)</x:f>
        <x:v>0</x:v>
      </x:c>
      <x:c r="AA35" s="40" t="n">
        <x:f>IF(AND(S35="Yes",O35&lt;='Assumptions'!$B$7),ROUNDUP(O35*'Assumptions'!$B$6,0),0)</x:f>
        <x:v>0</x:v>
      </x:c>
      <x:c r="AB35" s="30"/>
    </x:row>
    <x:row r="36" ht="22" customHeight="1">
      <x:c r="A36" s="28"/>
      <x:c r="B36" s="28"/>
      <x:c r="C36" s="28"/>
      <x:c r="D36" s="28"/>
      <x:c r="E36" s="34"/>
      <x:c r="F36" s="34"/>
      <x:c r="G36" s="36"/>
      <x:c r="H36" s="36"/>
      <x:c r="I36" s="36"/>
      <x:c r="J36" s="36"/>
      <x:c r="K36" s="38" t="n">
        <x:f>IFERROR(G36*MIN(E36/F36,1),0)</x:f>
        <x:v>0</x:v>
      </x:c>
      <x:c r="L36" s="38" t="n">
        <x:f>IFERROR(H36*MIN(E36/F36,1),0)</x:f>
        <x:v>0</x:v>
      </x:c>
      <x:c r="M36" s="38" t="n">
        <x:f>IFERROR(I36*MIN(E36/F36,1),0)</x:f>
        <x:v>0</x:v>
      </x:c>
      <x:c r="N36" s="38" t="n">
        <x:f>IFERROR(J36*MIN(E36/F36,1),0)</x:f>
        <x:v>0</x:v>
      </x:c>
      <x:c r="O36" s="38" t="n">
        <x:f>SUM(K36:N36)</x:f>
        <x:v>0</x:v>
      </x:c>
      <x:c r="P36" s="30"/>
      <x:c r="Q36" s="30"/>
      <x:c r="R36" s="40" t="n">
        <x:f>IF(P36="Yes",ROUND(IF(Q36="Yes",K36,MIN(K36,'Assumptions'!$B$8))*'Assumptions'!$B$4,0),0)</x:f>
        <x:v>0</x:v>
      </x:c>
      <x:c r="S36" s="30"/>
      <x:c r="T36" s="40" t="n">
        <x:f>IF(AND(S36="Yes",O36&lt;='Assumptions'!$B$7),ROUNDUP(O36*'Assumptions'!$B$5,0),0)</x:f>
        <x:v>0</x:v>
      </x:c>
      <x:c r="U36" s="40"/>
      <x:c r="V36" s="40"/>
      <x:c r="W36" s="40"/>
      <x:c r="X36" s="40" t="n">
        <x:f>SUM(R36,T36:W36)</x:f>
        <x:v>0</x:v>
      </x:c>
      <x:c r="Y36" s="42" t="n">
        <x:f>MAX(O36-X36,0)</x:f>
        <x:v>0</x:v>
      </x:c>
      <x:c r="Z36" s="40" t="n">
        <x:f>IF(P36="Yes",ROUND(IF(Q36="Yes",K36,MIN(K36,'Assumptions'!$B$8))*'Assumptions'!$B$9,0),0)</x:f>
        <x:v>0</x:v>
      </x:c>
      <x:c r="AA36" s="40" t="n">
        <x:f>IF(AND(S36="Yes",O36&lt;='Assumptions'!$B$7),ROUNDUP(O36*'Assumptions'!$B$6,0),0)</x:f>
        <x:v>0</x:v>
      </x:c>
      <x:c r="AB36" s="30"/>
    </x:row>
    <x:row r="37" ht="22" customHeight="1">
      <x:c r="A37" s="28"/>
      <x:c r="B37" s="28"/>
      <x:c r="C37" s="28"/>
      <x:c r="D37" s="28"/>
      <x:c r="E37" s="34"/>
      <x:c r="F37" s="34"/>
      <x:c r="G37" s="36"/>
      <x:c r="H37" s="36"/>
      <x:c r="I37" s="36"/>
      <x:c r="J37" s="36"/>
      <x:c r="K37" s="38" t="n">
        <x:f>IFERROR(G37*MIN(E37/F37,1),0)</x:f>
        <x:v>0</x:v>
      </x:c>
      <x:c r="L37" s="38" t="n">
        <x:f>IFERROR(H37*MIN(E37/F37,1),0)</x:f>
        <x:v>0</x:v>
      </x:c>
      <x:c r="M37" s="38" t="n">
        <x:f>IFERROR(I37*MIN(E37/F37,1),0)</x:f>
        <x:v>0</x:v>
      </x:c>
      <x:c r="N37" s="38" t="n">
        <x:f>IFERROR(J37*MIN(E37/F37,1),0)</x:f>
        <x:v>0</x:v>
      </x:c>
      <x:c r="O37" s="38" t="n">
        <x:f>SUM(K37:N37)</x:f>
        <x:v>0</x:v>
      </x:c>
      <x:c r="P37" s="30"/>
      <x:c r="Q37" s="30"/>
      <x:c r="R37" s="40" t="n">
        <x:f>IF(P37="Yes",ROUND(IF(Q37="Yes",K37,MIN(K37,'Assumptions'!$B$8))*'Assumptions'!$B$4,0),0)</x:f>
        <x:v>0</x:v>
      </x:c>
      <x:c r="S37" s="30"/>
      <x:c r="T37" s="40" t="n">
        <x:f>IF(AND(S37="Yes",O37&lt;='Assumptions'!$B$7),ROUNDUP(O37*'Assumptions'!$B$5,0),0)</x:f>
        <x:v>0</x:v>
      </x:c>
      <x:c r="U37" s="40"/>
      <x:c r="V37" s="40"/>
      <x:c r="W37" s="40"/>
      <x:c r="X37" s="40" t="n">
        <x:f>SUM(R37,T37:W37)</x:f>
        <x:v>0</x:v>
      </x:c>
      <x:c r="Y37" s="42" t="n">
        <x:f>MAX(O37-X37,0)</x:f>
        <x:v>0</x:v>
      </x:c>
      <x:c r="Z37" s="40" t="n">
        <x:f>IF(P37="Yes",ROUND(IF(Q37="Yes",K37,MIN(K37,'Assumptions'!$B$8))*'Assumptions'!$B$9,0),0)</x:f>
        <x:v>0</x:v>
      </x:c>
      <x:c r="AA37" s="40" t="n">
        <x:f>IF(AND(S37="Yes",O37&lt;='Assumptions'!$B$7),ROUNDUP(O37*'Assumptions'!$B$6,0),0)</x:f>
        <x:v>0</x:v>
      </x:c>
      <x:c r="AB37" s="30"/>
    </x:row>
    <x:row r="38" ht="22" customHeight="1">
      <x:c r="A38" s="28"/>
      <x:c r="B38" s="28"/>
      <x:c r="C38" s="28"/>
      <x:c r="D38" s="28"/>
      <x:c r="E38" s="34"/>
      <x:c r="F38" s="34"/>
      <x:c r="G38" s="36"/>
      <x:c r="H38" s="36"/>
      <x:c r="I38" s="36"/>
      <x:c r="J38" s="36"/>
      <x:c r="K38" s="38" t="n">
        <x:f>IFERROR(G38*MIN(E38/F38,1),0)</x:f>
        <x:v>0</x:v>
      </x:c>
      <x:c r="L38" s="38" t="n">
        <x:f>IFERROR(H38*MIN(E38/F38,1),0)</x:f>
        <x:v>0</x:v>
      </x:c>
      <x:c r="M38" s="38" t="n">
        <x:f>IFERROR(I38*MIN(E38/F38,1),0)</x:f>
        <x:v>0</x:v>
      </x:c>
      <x:c r="N38" s="38" t="n">
        <x:f>IFERROR(J38*MIN(E38/F38,1),0)</x:f>
        <x:v>0</x:v>
      </x:c>
      <x:c r="O38" s="38" t="n">
        <x:f>SUM(K38:N38)</x:f>
        <x:v>0</x:v>
      </x:c>
      <x:c r="P38" s="30"/>
      <x:c r="Q38" s="30"/>
      <x:c r="R38" s="40" t="n">
        <x:f>IF(P38="Yes",ROUND(IF(Q38="Yes",K38,MIN(K38,'Assumptions'!$B$8))*'Assumptions'!$B$4,0),0)</x:f>
        <x:v>0</x:v>
      </x:c>
      <x:c r="S38" s="30"/>
      <x:c r="T38" s="40" t="n">
        <x:f>IF(AND(S38="Yes",O38&lt;='Assumptions'!$B$7),ROUNDUP(O38*'Assumptions'!$B$5,0),0)</x:f>
        <x:v>0</x:v>
      </x:c>
      <x:c r="U38" s="40"/>
      <x:c r="V38" s="40"/>
      <x:c r="W38" s="40"/>
      <x:c r="X38" s="40" t="n">
        <x:f>SUM(R38,T38:W38)</x:f>
        <x:v>0</x:v>
      </x:c>
      <x:c r="Y38" s="42" t="n">
        <x:f>MAX(O38-X38,0)</x:f>
        <x:v>0</x:v>
      </x:c>
      <x:c r="Z38" s="40" t="n">
        <x:f>IF(P38="Yes",ROUND(IF(Q38="Yes",K38,MIN(K38,'Assumptions'!$B$8))*'Assumptions'!$B$9,0),0)</x:f>
        <x:v>0</x:v>
      </x:c>
      <x:c r="AA38" s="40" t="n">
        <x:f>IF(AND(S38="Yes",O38&lt;='Assumptions'!$B$7),ROUNDUP(O38*'Assumptions'!$B$6,0),0)</x:f>
        <x:v>0</x:v>
      </x:c>
      <x:c r="AB38" s="30"/>
    </x:row>
    <x:row r="39" ht="22" customHeight="1">
      <x:c r="A39" s="28"/>
      <x:c r="B39" s="28"/>
      <x:c r="C39" s="28"/>
      <x:c r="D39" s="28"/>
      <x:c r="E39" s="34"/>
      <x:c r="F39" s="34"/>
      <x:c r="G39" s="36"/>
      <x:c r="H39" s="36"/>
      <x:c r="I39" s="36"/>
      <x:c r="J39" s="36"/>
      <x:c r="K39" s="38" t="n">
        <x:f>IFERROR(G39*MIN(E39/F39,1),0)</x:f>
        <x:v>0</x:v>
      </x:c>
      <x:c r="L39" s="38" t="n">
        <x:f>IFERROR(H39*MIN(E39/F39,1),0)</x:f>
        <x:v>0</x:v>
      </x:c>
      <x:c r="M39" s="38" t="n">
        <x:f>IFERROR(I39*MIN(E39/F39,1),0)</x:f>
        <x:v>0</x:v>
      </x:c>
      <x:c r="N39" s="38" t="n">
        <x:f>IFERROR(J39*MIN(E39/F39,1),0)</x:f>
        <x:v>0</x:v>
      </x:c>
      <x:c r="O39" s="38" t="n">
        <x:f>SUM(K39:N39)</x:f>
        <x:v>0</x:v>
      </x:c>
      <x:c r="P39" s="30"/>
      <x:c r="Q39" s="30"/>
      <x:c r="R39" s="40" t="n">
        <x:f>IF(P39="Yes",ROUND(IF(Q39="Yes",K39,MIN(K39,'Assumptions'!$B$8))*'Assumptions'!$B$4,0),0)</x:f>
        <x:v>0</x:v>
      </x:c>
      <x:c r="S39" s="30"/>
      <x:c r="T39" s="40" t="n">
        <x:f>IF(AND(S39="Yes",O39&lt;='Assumptions'!$B$7),ROUNDUP(O39*'Assumptions'!$B$5,0),0)</x:f>
        <x:v>0</x:v>
      </x:c>
      <x:c r="U39" s="40"/>
      <x:c r="V39" s="40"/>
      <x:c r="W39" s="40"/>
      <x:c r="X39" s="40" t="n">
        <x:f>SUM(R39,T39:W39)</x:f>
        <x:v>0</x:v>
      </x:c>
      <x:c r="Y39" s="42" t="n">
        <x:f>MAX(O39-X39,0)</x:f>
        <x:v>0</x:v>
      </x:c>
      <x:c r="Z39" s="40" t="n">
        <x:f>IF(P39="Yes",ROUND(IF(Q39="Yes",K39,MIN(K39,'Assumptions'!$B$8))*'Assumptions'!$B$9,0),0)</x:f>
        <x:v>0</x:v>
      </x:c>
      <x:c r="AA39" s="40" t="n">
        <x:f>IF(AND(S39="Yes",O39&lt;='Assumptions'!$B$7),ROUNDUP(O39*'Assumptions'!$B$6,0),0)</x:f>
        <x:v>0</x:v>
      </x:c>
      <x:c r="AB39" s="30"/>
    </x:row>
    <x:row r="40" ht="22" customHeight="1">
      <x:c r="A40" s="28"/>
      <x:c r="B40" s="28"/>
      <x:c r="C40" s="28"/>
      <x:c r="D40" s="28"/>
      <x:c r="E40" s="34"/>
      <x:c r="F40" s="34"/>
      <x:c r="G40" s="36"/>
      <x:c r="H40" s="36"/>
      <x:c r="I40" s="36"/>
      <x:c r="J40" s="36"/>
      <x:c r="K40" s="38" t="n">
        <x:f>IFERROR(G40*MIN(E40/F40,1),0)</x:f>
        <x:v>0</x:v>
      </x:c>
      <x:c r="L40" s="38" t="n">
        <x:f>IFERROR(H40*MIN(E40/F40,1),0)</x:f>
        <x:v>0</x:v>
      </x:c>
      <x:c r="M40" s="38" t="n">
        <x:f>IFERROR(I40*MIN(E40/F40,1),0)</x:f>
        <x:v>0</x:v>
      </x:c>
      <x:c r="N40" s="38" t="n">
        <x:f>IFERROR(J40*MIN(E40/F40,1),0)</x:f>
        <x:v>0</x:v>
      </x:c>
      <x:c r="O40" s="38" t="n">
        <x:f>SUM(K40:N40)</x:f>
        <x:v>0</x:v>
      </x:c>
      <x:c r="P40" s="30"/>
      <x:c r="Q40" s="30"/>
      <x:c r="R40" s="40" t="n">
        <x:f>IF(P40="Yes",ROUND(IF(Q40="Yes",K40,MIN(K40,'Assumptions'!$B$8))*'Assumptions'!$B$4,0),0)</x:f>
        <x:v>0</x:v>
      </x:c>
      <x:c r="S40" s="30"/>
      <x:c r="T40" s="40" t="n">
        <x:f>IF(AND(S40="Yes",O40&lt;='Assumptions'!$B$7),ROUNDUP(O40*'Assumptions'!$B$5,0),0)</x:f>
        <x:v>0</x:v>
      </x:c>
      <x:c r="U40" s="40"/>
      <x:c r="V40" s="40"/>
      <x:c r="W40" s="40"/>
      <x:c r="X40" s="40" t="n">
        <x:f>SUM(R40,T40:W40)</x:f>
        <x:v>0</x:v>
      </x:c>
      <x:c r="Y40" s="42" t="n">
        <x:f>MAX(O40-X40,0)</x:f>
        <x:v>0</x:v>
      </x:c>
      <x:c r="Z40" s="40" t="n">
        <x:f>IF(P40="Yes",ROUND(IF(Q40="Yes",K40,MIN(K40,'Assumptions'!$B$8))*'Assumptions'!$B$9,0),0)</x:f>
        <x:v>0</x:v>
      </x:c>
      <x:c r="AA40" s="40" t="n">
        <x:f>IF(AND(S40="Yes",O40&lt;='Assumptions'!$B$7),ROUNDUP(O40*'Assumptions'!$B$6,0),0)</x:f>
        <x:v>0</x:v>
      </x:c>
      <x:c r="AB40" s="30"/>
    </x:row>
    <x:row r="41" ht="22" customHeight="1">
      <x:c r="A41" s="28"/>
      <x:c r="B41" s="28"/>
      <x:c r="C41" s="28"/>
      <x:c r="D41" s="28"/>
      <x:c r="E41" s="34"/>
      <x:c r="F41" s="34"/>
      <x:c r="G41" s="36"/>
      <x:c r="H41" s="36"/>
      <x:c r="I41" s="36"/>
      <x:c r="J41" s="36"/>
      <x:c r="K41" s="38" t="n">
        <x:f>IFERROR(G41*MIN(E41/F41,1),0)</x:f>
        <x:v>0</x:v>
      </x:c>
      <x:c r="L41" s="38" t="n">
        <x:f>IFERROR(H41*MIN(E41/F41,1),0)</x:f>
        <x:v>0</x:v>
      </x:c>
      <x:c r="M41" s="38" t="n">
        <x:f>IFERROR(I41*MIN(E41/F41,1),0)</x:f>
        <x:v>0</x:v>
      </x:c>
      <x:c r="N41" s="38" t="n">
        <x:f>IFERROR(J41*MIN(E41/F41,1),0)</x:f>
        <x:v>0</x:v>
      </x:c>
      <x:c r="O41" s="38" t="n">
        <x:f>SUM(K41:N41)</x:f>
        <x:v>0</x:v>
      </x:c>
      <x:c r="P41" s="30"/>
      <x:c r="Q41" s="30"/>
      <x:c r="R41" s="40" t="n">
        <x:f>IF(P41="Yes",ROUND(IF(Q41="Yes",K41,MIN(K41,'Assumptions'!$B$8))*'Assumptions'!$B$4,0),0)</x:f>
        <x:v>0</x:v>
      </x:c>
      <x:c r="S41" s="30"/>
      <x:c r="T41" s="40" t="n">
        <x:f>IF(AND(S41="Yes",O41&lt;='Assumptions'!$B$7),ROUNDUP(O41*'Assumptions'!$B$5,0),0)</x:f>
        <x:v>0</x:v>
      </x:c>
      <x:c r="U41" s="40"/>
      <x:c r="V41" s="40"/>
      <x:c r="W41" s="40"/>
      <x:c r="X41" s="40" t="n">
        <x:f>SUM(R41,T41:W41)</x:f>
        <x:v>0</x:v>
      </x:c>
      <x:c r="Y41" s="42" t="n">
        <x:f>MAX(O41-X41,0)</x:f>
        <x:v>0</x:v>
      </x:c>
      <x:c r="Z41" s="40" t="n">
        <x:f>IF(P41="Yes",ROUND(IF(Q41="Yes",K41,MIN(K41,'Assumptions'!$B$8))*'Assumptions'!$B$9,0),0)</x:f>
        <x:v>0</x:v>
      </x:c>
      <x:c r="AA41" s="40" t="n">
        <x:f>IF(AND(S41="Yes",O41&lt;='Assumptions'!$B$7),ROUNDUP(O41*'Assumptions'!$B$6,0),0)</x:f>
        <x:v>0</x:v>
      </x:c>
      <x:c r="AB41" s="30"/>
    </x:row>
    <x:row r="42" ht="22" customHeight="1">
      <x:c r="A42" s="28"/>
      <x:c r="B42" s="28"/>
      <x:c r="C42" s="28"/>
      <x:c r="D42" s="28"/>
      <x:c r="E42" s="34"/>
      <x:c r="F42" s="34"/>
      <x:c r="G42" s="36"/>
      <x:c r="H42" s="36"/>
      <x:c r="I42" s="36"/>
      <x:c r="J42" s="36"/>
      <x:c r="K42" s="38" t="n">
        <x:f>IFERROR(G42*MIN(E42/F42,1),0)</x:f>
        <x:v>0</x:v>
      </x:c>
      <x:c r="L42" s="38" t="n">
        <x:f>IFERROR(H42*MIN(E42/F42,1),0)</x:f>
        <x:v>0</x:v>
      </x:c>
      <x:c r="M42" s="38" t="n">
        <x:f>IFERROR(I42*MIN(E42/F42,1),0)</x:f>
        <x:v>0</x:v>
      </x:c>
      <x:c r="N42" s="38" t="n">
        <x:f>IFERROR(J42*MIN(E42/F42,1),0)</x:f>
        <x:v>0</x:v>
      </x:c>
      <x:c r="O42" s="38" t="n">
        <x:f>SUM(K42:N42)</x:f>
        <x:v>0</x:v>
      </x:c>
      <x:c r="P42" s="30"/>
      <x:c r="Q42" s="30"/>
      <x:c r="R42" s="40" t="n">
        <x:f>IF(P42="Yes",ROUND(IF(Q42="Yes",K42,MIN(K42,'Assumptions'!$B$8))*'Assumptions'!$B$4,0),0)</x:f>
        <x:v>0</x:v>
      </x:c>
      <x:c r="S42" s="30"/>
      <x:c r="T42" s="40" t="n">
        <x:f>IF(AND(S42="Yes",O42&lt;='Assumptions'!$B$7),ROUNDUP(O42*'Assumptions'!$B$5,0),0)</x:f>
        <x:v>0</x:v>
      </x:c>
      <x:c r="U42" s="40"/>
      <x:c r="V42" s="40"/>
      <x:c r="W42" s="40"/>
      <x:c r="X42" s="40" t="n">
        <x:f>SUM(R42,T42:W42)</x:f>
        <x:v>0</x:v>
      </x:c>
      <x:c r="Y42" s="42" t="n">
        <x:f>MAX(O42-X42,0)</x:f>
        <x:v>0</x:v>
      </x:c>
      <x:c r="Z42" s="40" t="n">
        <x:f>IF(P42="Yes",ROUND(IF(Q42="Yes",K42,MIN(K42,'Assumptions'!$B$8))*'Assumptions'!$B$9,0),0)</x:f>
        <x:v>0</x:v>
      </x:c>
      <x:c r="AA42" s="40" t="n">
        <x:f>IF(AND(S42="Yes",O42&lt;='Assumptions'!$B$7),ROUNDUP(O42*'Assumptions'!$B$6,0),0)</x:f>
        <x:v>0</x:v>
      </x:c>
      <x:c r="AB42" s="30"/>
    </x:row>
    <x:row r="43" ht="22" customHeight="1">
      <x:c r="A43" s="28"/>
      <x:c r="B43" s="28"/>
      <x:c r="C43" s="28"/>
      <x:c r="D43" s="28"/>
      <x:c r="E43" s="34"/>
      <x:c r="F43" s="34"/>
      <x:c r="G43" s="36"/>
      <x:c r="H43" s="36"/>
      <x:c r="I43" s="36"/>
      <x:c r="J43" s="36"/>
      <x:c r="K43" s="38" t="n">
        <x:f>IFERROR(G43*MIN(E43/F43,1),0)</x:f>
        <x:v>0</x:v>
      </x:c>
      <x:c r="L43" s="38" t="n">
        <x:f>IFERROR(H43*MIN(E43/F43,1),0)</x:f>
        <x:v>0</x:v>
      </x:c>
      <x:c r="M43" s="38" t="n">
        <x:f>IFERROR(I43*MIN(E43/F43,1),0)</x:f>
        <x:v>0</x:v>
      </x:c>
      <x:c r="N43" s="38" t="n">
        <x:f>IFERROR(J43*MIN(E43/F43,1),0)</x:f>
        <x:v>0</x:v>
      </x:c>
      <x:c r="O43" s="38" t="n">
        <x:f>SUM(K43:N43)</x:f>
        <x:v>0</x:v>
      </x:c>
      <x:c r="P43" s="30"/>
      <x:c r="Q43" s="30"/>
      <x:c r="R43" s="40" t="n">
        <x:f>IF(P43="Yes",ROUND(IF(Q43="Yes",K43,MIN(K43,'Assumptions'!$B$8))*'Assumptions'!$B$4,0),0)</x:f>
        <x:v>0</x:v>
      </x:c>
      <x:c r="S43" s="30"/>
      <x:c r="T43" s="40" t="n">
        <x:f>IF(AND(S43="Yes",O43&lt;='Assumptions'!$B$7),ROUNDUP(O43*'Assumptions'!$B$5,0),0)</x:f>
        <x:v>0</x:v>
      </x:c>
      <x:c r="U43" s="40"/>
      <x:c r="V43" s="40"/>
      <x:c r="W43" s="40"/>
      <x:c r="X43" s="40" t="n">
        <x:f>SUM(R43,T43:W43)</x:f>
        <x:v>0</x:v>
      </x:c>
      <x:c r="Y43" s="42" t="n">
        <x:f>MAX(O43-X43,0)</x:f>
        <x:v>0</x:v>
      </x:c>
      <x:c r="Z43" s="40" t="n">
        <x:f>IF(P43="Yes",ROUND(IF(Q43="Yes",K43,MIN(K43,'Assumptions'!$B$8))*'Assumptions'!$B$9,0),0)</x:f>
        <x:v>0</x:v>
      </x:c>
      <x:c r="AA43" s="40" t="n">
        <x:f>IF(AND(S43="Yes",O43&lt;='Assumptions'!$B$7),ROUNDUP(O43*'Assumptions'!$B$6,0),0)</x:f>
        <x:v>0</x:v>
      </x:c>
      <x:c r="AB43" s="30"/>
    </x:row>
    <x:row r="44" ht="22" customHeight="1">
      <x:c r="A44" s="28"/>
      <x:c r="B44" s="28"/>
      <x:c r="C44" s="28"/>
      <x:c r="D44" s="28"/>
      <x:c r="E44" s="34"/>
      <x:c r="F44" s="34"/>
      <x:c r="G44" s="36"/>
      <x:c r="H44" s="36"/>
      <x:c r="I44" s="36"/>
      <x:c r="J44" s="36"/>
      <x:c r="K44" s="38" t="n">
        <x:f>IFERROR(G44*MIN(E44/F44,1),0)</x:f>
        <x:v>0</x:v>
      </x:c>
      <x:c r="L44" s="38" t="n">
        <x:f>IFERROR(H44*MIN(E44/F44,1),0)</x:f>
        <x:v>0</x:v>
      </x:c>
      <x:c r="M44" s="38" t="n">
        <x:f>IFERROR(I44*MIN(E44/F44,1),0)</x:f>
        <x:v>0</x:v>
      </x:c>
      <x:c r="N44" s="38" t="n">
        <x:f>IFERROR(J44*MIN(E44/F44,1),0)</x:f>
        <x:v>0</x:v>
      </x:c>
      <x:c r="O44" s="38" t="n">
        <x:f>SUM(K44:N44)</x:f>
        <x:v>0</x:v>
      </x:c>
      <x:c r="P44" s="30"/>
      <x:c r="Q44" s="30"/>
      <x:c r="R44" s="40" t="n">
        <x:f>IF(P44="Yes",ROUND(IF(Q44="Yes",K44,MIN(K44,'Assumptions'!$B$8))*'Assumptions'!$B$4,0),0)</x:f>
        <x:v>0</x:v>
      </x:c>
      <x:c r="S44" s="30"/>
      <x:c r="T44" s="40" t="n">
        <x:f>IF(AND(S44="Yes",O44&lt;='Assumptions'!$B$7),ROUNDUP(O44*'Assumptions'!$B$5,0),0)</x:f>
        <x:v>0</x:v>
      </x:c>
      <x:c r="U44" s="40"/>
      <x:c r="V44" s="40"/>
      <x:c r="W44" s="40"/>
      <x:c r="X44" s="40" t="n">
        <x:f>SUM(R44,T44:W44)</x:f>
        <x:v>0</x:v>
      </x:c>
      <x:c r="Y44" s="42" t="n">
        <x:f>MAX(O44-X44,0)</x:f>
        <x:v>0</x:v>
      </x:c>
      <x:c r="Z44" s="40" t="n">
        <x:f>IF(P44="Yes",ROUND(IF(Q44="Yes",K44,MIN(K44,'Assumptions'!$B$8))*'Assumptions'!$B$9,0),0)</x:f>
        <x:v>0</x:v>
      </x:c>
      <x:c r="AA44" s="40" t="n">
        <x:f>IF(AND(S44="Yes",O44&lt;='Assumptions'!$B$7),ROUNDUP(O44*'Assumptions'!$B$6,0),0)</x:f>
        <x:v>0</x:v>
      </x:c>
      <x:c r="AB44" s="30"/>
    </x:row>
    <x:row r="45" ht="22" customHeight="1">
      <x:c r="A45" s="28"/>
      <x:c r="B45" s="28"/>
      <x:c r="C45" s="28"/>
      <x:c r="D45" s="28"/>
      <x:c r="E45" s="34"/>
      <x:c r="F45" s="34"/>
      <x:c r="G45" s="36"/>
      <x:c r="H45" s="36"/>
      <x:c r="I45" s="36"/>
      <x:c r="J45" s="36"/>
      <x:c r="K45" s="38" t="n">
        <x:f>IFERROR(G45*MIN(E45/F45,1),0)</x:f>
        <x:v>0</x:v>
      </x:c>
      <x:c r="L45" s="38" t="n">
        <x:f>IFERROR(H45*MIN(E45/F45,1),0)</x:f>
        <x:v>0</x:v>
      </x:c>
      <x:c r="M45" s="38" t="n">
        <x:f>IFERROR(I45*MIN(E45/F45,1),0)</x:f>
        <x:v>0</x:v>
      </x:c>
      <x:c r="N45" s="38" t="n">
        <x:f>IFERROR(J45*MIN(E45/F45,1),0)</x:f>
        <x:v>0</x:v>
      </x:c>
      <x:c r="O45" s="38" t="n">
        <x:f>SUM(K45:N45)</x:f>
        <x:v>0</x:v>
      </x:c>
      <x:c r="P45" s="30"/>
      <x:c r="Q45" s="30"/>
      <x:c r="R45" s="40" t="n">
        <x:f>IF(P45="Yes",ROUND(IF(Q45="Yes",K45,MIN(K45,'Assumptions'!$B$8))*'Assumptions'!$B$4,0),0)</x:f>
        <x:v>0</x:v>
      </x:c>
      <x:c r="S45" s="30"/>
      <x:c r="T45" s="40" t="n">
        <x:f>IF(AND(S45="Yes",O45&lt;='Assumptions'!$B$7),ROUNDUP(O45*'Assumptions'!$B$5,0),0)</x:f>
        <x:v>0</x:v>
      </x:c>
      <x:c r="U45" s="40"/>
      <x:c r="V45" s="40"/>
      <x:c r="W45" s="40"/>
      <x:c r="X45" s="40" t="n">
        <x:f>SUM(R45,T45:W45)</x:f>
        <x:v>0</x:v>
      </x:c>
      <x:c r="Y45" s="42" t="n">
        <x:f>MAX(O45-X45,0)</x:f>
        <x:v>0</x:v>
      </x:c>
      <x:c r="Z45" s="40" t="n">
        <x:f>IF(P45="Yes",ROUND(IF(Q45="Yes",K45,MIN(K45,'Assumptions'!$B$8))*'Assumptions'!$B$9,0),0)</x:f>
        <x:v>0</x:v>
      </x:c>
      <x:c r="AA45" s="40" t="n">
        <x:f>IF(AND(S45="Yes",O45&lt;='Assumptions'!$B$7),ROUNDUP(O45*'Assumptions'!$B$6,0),0)</x:f>
        <x:v>0</x:v>
      </x:c>
      <x:c r="AB45" s="30"/>
    </x:row>
    <x:row r="46" ht="22" customHeight="1">
      <x:c r="A46" s="28"/>
      <x:c r="B46" s="28"/>
      <x:c r="C46" s="28"/>
      <x:c r="D46" s="28"/>
      <x:c r="E46" s="34"/>
      <x:c r="F46" s="34"/>
      <x:c r="G46" s="36"/>
      <x:c r="H46" s="36"/>
      <x:c r="I46" s="36"/>
      <x:c r="J46" s="36"/>
      <x:c r="K46" s="38" t="n">
        <x:f>IFERROR(G46*MIN(E46/F46,1),0)</x:f>
        <x:v>0</x:v>
      </x:c>
      <x:c r="L46" s="38" t="n">
        <x:f>IFERROR(H46*MIN(E46/F46,1),0)</x:f>
        <x:v>0</x:v>
      </x:c>
      <x:c r="M46" s="38" t="n">
        <x:f>IFERROR(I46*MIN(E46/F46,1),0)</x:f>
        <x:v>0</x:v>
      </x:c>
      <x:c r="N46" s="38" t="n">
        <x:f>IFERROR(J46*MIN(E46/F46,1),0)</x:f>
        <x:v>0</x:v>
      </x:c>
      <x:c r="O46" s="38" t="n">
        <x:f>SUM(K46:N46)</x:f>
        <x:v>0</x:v>
      </x:c>
      <x:c r="P46" s="30"/>
      <x:c r="Q46" s="30"/>
      <x:c r="R46" s="40" t="n">
        <x:f>IF(P46="Yes",ROUND(IF(Q46="Yes",K46,MIN(K46,'Assumptions'!$B$8))*'Assumptions'!$B$4,0),0)</x:f>
        <x:v>0</x:v>
      </x:c>
      <x:c r="S46" s="30"/>
      <x:c r="T46" s="40" t="n">
        <x:f>IF(AND(S46="Yes",O46&lt;='Assumptions'!$B$7),ROUNDUP(O46*'Assumptions'!$B$5,0),0)</x:f>
        <x:v>0</x:v>
      </x:c>
      <x:c r="U46" s="40"/>
      <x:c r="V46" s="40"/>
      <x:c r="W46" s="40"/>
      <x:c r="X46" s="40" t="n">
        <x:f>SUM(R46,T46:W46)</x:f>
        <x:v>0</x:v>
      </x:c>
      <x:c r="Y46" s="42" t="n">
        <x:f>MAX(O46-X46,0)</x:f>
        <x:v>0</x:v>
      </x:c>
      <x:c r="Z46" s="40" t="n">
        <x:f>IF(P46="Yes",ROUND(IF(Q46="Yes",K46,MIN(K46,'Assumptions'!$B$8))*'Assumptions'!$B$9,0),0)</x:f>
        <x:v>0</x:v>
      </x:c>
      <x:c r="AA46" s="40" t="n">
        <x:f>IF(AND(S46="Yes",O46&lt;='Assumptions'!$B$7),ROUNDUP(O46*'Assumptions'!$B$6,0),0)</x:f>
        <x:v>0</x:v>
      </x:c>
      <x:c r="AB46" s="30"/>
    </x:row>
    <x:row r="47" ht="22" customHeight="1">
      <x:c r="A47" s="28"/>
      <x:c r="B47" s="28"/>
      <x:c r="C47" s="28"/>
      <x:c r="D47" s="28"/>
      <x:c r="E47" s="34"/>
      <x:c r="F47" s="34"/>
      <x:c r="G47" s="36"/>
      <x:c r="H47" s="36"/>
      <x:c r="I47" s="36"/>
      <x:c r="J47" s="36"/>
      <x:c r="K47" s="38" t="n">
        <x:f>IFERROR(G47*MIN(E47/F47,1),0)</x:f>
        <x:v>0</x:v>
      </x:c>
      <x:c r="L47" s="38" t="n">
        <x:f>IFERROR(H47*MIN(E47/F47,1),0)</x:f>
        <x:v>0</x:v>
      </x:c>
      <x:c r="M47" s="38" t="n">
        <x:f>IFERROR(I47*MIN(E47/F47,1),0)</x:f>
        <x:v>0</x:v>
      </x:c>
      <x:c r="N47" s="38" t="n">
        <x:f>IFERROR(J47*MIN(E47/F47,1),0)</x:f>
        <x:v>0</x:v>
      </x:c>
      <x:c r="O47" s="38" t="n">
        <x:f>SUM(K47:N47)</x:f>
        <x:v>0</x:v>
      </x:c>
      <x:c r="P47" s="30"/>
      <x:c r="Q47" s="30"/>
      <x:c r="R47" s="40" t="n">
        <x:f>IF(P47="Yes",ROUND(IF(Q47="Yes",K47,MIN(K47,'Assumptions'!$B$8))*'Assumptions'!$B$4,0),0)</x:f>
        <x:v>0</x:v>
      </x:c>
      <x:c r="S47" s="30"/>
      <x:c r="T47" s="40" t="n">
        <x:f>IF(AND(S47="Yes",O47&lt;='Assumptions'!$B$7),ROUNDUP(O47*'Assumptions'!$B$5,0),0)</x:f>
        <x:v>0</x:v>
      </x:c>
      <x:c r="U47" s="40"/>
      <x:c r="V47" s="40"/>
      <x:c r="W47" s="40"/>
      <x:c r="X47" s="40" t="n">
        <x:f>SUM(R47,T47:W47)</x:f>
        <x:v>0</x:v>
      </x:c>
      <x:c r="Y47" s="42" t="n">
        <x:f>MAX(O47-X47,0)</x:f>
        <x:v>0</x:v>
      </x:c>
      <x:c r="Z47" s="40" t="n">
        <x:f>IF(P47="Yes",ROUND(IF(Q47="Yes",K47,MIN(K47,'Assumptions'!$B$8))*'Assumptions'!$B$9,0),0)</x:f>
        <x:v>0</x:v>
      </x:c>
      <x:c r="AA47" s="40" t="n">
        <x:f>IF(AND(S47="Yes",O47&lt;='Assumptions'!$B$7),ROUNDUP(O47*'Assumptions'!$B$6,0),0)</x:f>
        <x:v>0</x:v>
      </x:c>
      <x:c r="AB47" s="30"/>
    </x:row>
    <x:row r="48" ht="22" customHeight="1">
      <x:c r="A48" s="28"/>
      <x:c r="B48" s="28"/>
      <x:c r="C48" s="28"/>
      <x:c r="D48" s="28"/>
      <x:c r="E48" s="34"/>
      <x:c r="F48" s="34"/>
      <x:c r="G48" s="36"/>
      <x:c r="H48" s="36"/>
      <x:c r="I48" s="36"/>
      <x:c r="J48" s="36"/>
      <x:c r="K48" s="38" t="n">
        <x:f>IFERROR(G48*MIN(E48/F48,1),0)</x:f>
        <x:v>0</x:v>
      </x:c>
      <x:c r="L48" s="38" t="n">
        <x:f>IFERROR(H48*MIN(E48/F48,1),0)</x:f>
        <x:v>0</x:v>
      </x:c>
      <x:c r="M48" s="38" t="n">
        <x:f>IFERROR(I48*MIN(E48/F48,1),0)</x:f>
        <x:v>0</x:v>
      </x:c>
      <x:c r="N48" s="38" t="n">
        <x:f>IFERROR(J48*MIN(E48/F48,1),0)</x:f>
        <x:v>0</x:v>
      </x:c>
      <x:c r="O48" s="38" t="n">
        <x:f>SUM(K48:N48)</x:f>
        <x:v>0</x:v>
      </x:c>
      <x:c r="P48" s="30"/>
      <x:c r="Q48" s="30"/>
      <x:c r="R48" s="40" t="n">
        <x:f>IF(P48="Yes",ROUND(IF(Q48="Yes",K48,MIN(K48,'Assumptions'!$B$8))*'Assumptions'!$B$4,0),0)</x:f>
        <x:v>0</x:v>
      </x:c>
      <x:c r="S48" s="30"/>
      <x:c r="T48" s="40" t="n">
        <x:f>IF(AND(S48="Yes",O48&lt;='Assumptions'!$B$7),ROUNDUP(O48*'Assumptions'!$B$5,0),0)</x:f>
        <x:v>0</x:v>
      </x:c>
      <x:c r="U48" s="40"/>
      <x:c r="V48" s="40"/>
      <x:c r="W48" s="40"/>
      <x:c r="X48" s="40" t="n">
        <x:f>SUM(R48,T48:W48)</x:f>
        <x:v>0</x:v>
      </x:c>
      <x:c r="Y48" s="42" t="n">
        <x:f>MAX(O48-X48,0)</x:f>
        <x:v>0</x:v>
      </x:c>
      <x:c r="Z48" s="40" t="n">
        <x:f>IF(P48="Yes",ROUND(IF(Q48="Yes",K48,MIN(K48,'Assumptions'!$B$8))*'Assumptions'!$B$9,0),0)</x:f>
        <x:v>0</x:v>
      </x:c>
      <x:c r="AA48" s="40" t="n">
        <x:f>IF(AND(S48="Yes",O48&lt;='Assumptions'!$B$7),ROUNDUP(O48*'Assumptions'!$B$6,0),0)</x:f>
        <x:v>0</x:v>
      </x:c>
      <x:c r="AB48" s="30"/>
    </x:row>
    <x:row r="49" ht="22" customHeight="1">
      <x:c r="A49" s="28"/>
      <x:c r="B49" s="28"/>
      <x:c r="C49" s="28"/>
      <x:c r="D49" s="28"/>
      <x:c r="E49" s="34"/>
      <x:c r="F49" s="34"/>
      <x:c r="G49" s="36"/>
      <x:c r="H49" s="36"/>
      <x:c r="I49" s="36"/>
      <x:c r="J49" s="36"/>
      <x:c r="K49" s="38" t="n">
        <x:f>IFERROR(G49*MIN(E49/F49,1),0)</x:f>
        <x:v>0</x:v>
      </x:c>
      <x:c r="L49" s="38" t="n">
        <x:f>IFERROR(H49*MIN(E49/F49,1),0)</x:f>
        <x:v>0</x:v>
      </x:c>
      <x:c r="M49" s="38" t="n">
        <x:f>IFERROR(I49*MIN(E49/F49,1),0)</x:f>
        <x:v>0</x:v>
      </x:c>
      <x:c r="N49" s="38" t="n">
        <x:f>IFERROR(J49*MIN(E49/F49,1),0)</x:f>
        <x:v>0</x:v>
      </x:c>
      <x:c r="O49" s="38" t="n">
        <x:f>SUM(K49:N49)</x:f>
        <x:v>0</x:v>
      </x:c>
      <x:c r="P49" s="30"/>
      <x:c r="Q49" s="30"/>
      <x:c r="R49" s="40" t="n">
        <x:f>IF(P49="Yes",ROUND(IF(Q49="Yes",K49,MIN(K49,'Assumptions'!$B$8))*'Assumptions'!$B$4,0),0)</x:f>
        <x:v>0</x:v>
      </x:c>
      <x:c r="S49" s="30"/>
      <x:c r="T49" s="40" t="n">
        <x:f>IF(AND(S49="Yes",O49&lt;='Assumptions'!$B$7),ROUNDUP(O49*'Assumptions'!$B$5,0),0)</x:f>
        <x:v>0</x:v>
      </x:c>
      <x:c r="U49" s="40"/>
      <x:c r="V49" s="40"/>
      <x:c r="W49" s="40"/>
      <x:c r="X49" s="40" t="n">
        <x:f>SUM(R49,T49:W49)</x:f>
        <x:v>0</x:v>
      </x:c>
      <x:c r="Y49" s="42" t="n">
        <x:f>MAX(O49-X49,0)</x:f>
        <x:v>0</x:v>
      </x:c>
      <x:c r="Z49" s="40" t="n">
        <x:f>IF(P49="Yes",ROUND(IF(Q49="Yes",K49,MIN(K49,'Assumptions'!$B$8))*'Assumptions'!$B$9,0),0)</x:f>
        <x:v>0</x:v>
      </x:c>
      <x:c r="AA49" s="40" t="n">
        <x:f>IF(AND(S49="Yes",O49&lt;='Assumptions'!$B$7),ROUNDUP(O49*'Assumptions'!$B$6,0),0)</x:f>
        <x:v>0</x:v>
      </x:c>
      <x:c r="AB49" s="30"/>
    </x:row>
    <x:row r="50" ht="22" customHeight="1">
      <x:c r="A50" s="28"/>
      <x:c r="B50" s="28"/>
      <x:c r="C50" s="28"/>
      <x:c r="D50" s="28"/>
      <x:c r="E50" s="34"/>
      <x:c r="F50" s="34"/>
      <x:c r="G50" s="36"/>
      <x:c r="H50" s="36"/>
      <x:c r="I50" s="36"/>
      <x:c r="J50" s="36"/>
      <x:c r="K50" s="38" t="n">
        <x:f>IFERROR(G50*MIN(E50/F50,1),0)</x:f>
        <x:v>0</x:v>
      </x:c>
      <x:c r="L50" s="38" t="n">
        <x:f>IFERROR(H50*MIN(E50/F50,1),0)</x:f>
        <x:v>0</x:v>
      </x:c>
      <x:c r="M50" s="38" t="n">
        <x:f>IFERROR(I50*MIN(E50/F50,1),0)</x:f>
        <x:v>0</x:v>
      </x:c>
      <x:c r="N50" s="38" t="n">
        <x:f>IFERROR(J50*MIN(E50/F50,1),0)</x:f>
        <x:v>0</x:v>
      </x:c>
      <x:c r="O50" s="38" t="n">
        <x:f>SUM(K50:N50)</x:f>
        <x:v>0</x:v>
      </x:c>
      <x:c r="P50" s="30"/>
      <x:c r="Q50" s="30"/>
      <x:c r="R50" s="40" t="n">
        <x:f>IF(P50="Yes",ROUND(IF(Q50="Yes",K50,MIN(K50,'Assumptions'!$B$8))*'Assumptions'!$B$4,0),0)</x:f>
        <x:v>0</x:v>
      </x:c>
      <x:c r="S50" s="30"/>
      <x:c r="T50" s="40" t="n">
        <x:f>IF(AND(S50="Yes",O50&lt;='Assumptions'!$B$7),ROUNDUP(O50*'Assumptions'!$B$5,0),0)</x:f>
        <x:v>0</x:v>
      </x:c>
      <x:c r="U50" s="40"/>
      <x:c r="V50" s="40"/>
      <x:c r="W50" s="40"/>
      <x:c r="X50" s="40" t="n">
        <x:f>SUM(R50,T50:W50)</x:f>
        <x:v>0</x:v>
      </x:c>
      <x:c r="Y50" s="42" t="n">
        <x:f>MAX(O50-X50,0)</x:f>
        <x:v>0</x:v>
      </x:c>
      <x:c r="Z50" s="40" t="n">
        <x:f>IF(P50="Yes",ROUND(IF(Q50="Yes",K50,MIN(K50,'Assumptions'!$B$8))*'Assumptions'!$B$9,0),0)</x:f>
        <x:v>0</x:v>
      </x:c>
      <x:c r="AA50" s="40" t="n">
        <x:f>IF(AND(S50="Yes",O50&lt;='Assumptions'!$B$7),ROUNDUP(O50*'Assumptions'!$B$6,0),0)</x:f>
        <x:v>0</x:v>
      </x:c>
      <x:c r="AB50" s="30"/>
    </x:row>
    <x:row r="51" ht="22" customHeight="1">
      <x:c r="A51" s="28"/>
      <x:c r="B51" s="28"/>
      <x:c r="C51" s="28"/>
      <x:c r="D51" s="28"/>
      <x:c r="E51" s="34"/>
      <x:c r="F51" s="34"/>
      <x:c r="G51" s="36"/>
      <x:c r="H51" s="36"/>
      <x:c r="I51" s="36"/>
      <x:c r="J51" s="36"/>
      <x:c r="K51" s="38" t="n">
        <x:f>IFERROR(G51*MIN(E51/F51,1),0)</x:f>
        <x:v>0</x:v>
      </x:c>
      <x:c r="L51" s="38" t="n">
        <x:f>IFERROR(H51*MIN(E51/F51,1),0)</x:f>
        <x:v>0</x:v>
      </x:c>
      <x:c r="M51" s="38" t="n">
        <x:f>IFERROR(I51*MIN(E51/F51,1),0)</x:f>
        <x:v>0</x:v>
      </x:c>
      <x:c r="N51" s="38" t="n">
        <x:f>IFERROR(J51*MIN(E51/F51,1),0)</x:f>
        <x:v>0</x:v>
      </x:c>
      <x:c r="O51" s="38" t="n">
        <x:f>SUM(K51:N51)</x:f>
        <x:v>0</x:v>
      </x:c>
      <x:c r="P51" s="30"/>
      <x:c r="Q51" s="30"/>
      <x:c r="R51" s="40" t="n">
        <x:f>IF(P51="Yes",ROUND(IF(Q51="Yes",K51,MIN(K51,'Assumptions'!$B$8))*'Assumptions'!$B$4,0),0)</x:f>
        <x:v>0</x:v>
      </x:c>
      <x:c r="S51" s="30"/>
      <x:c r="T51" s="40" t="n">
        <x:f>IF(AND(S51="Yes",O51&lt;='Assumptions'!$B$7),ROUNDUP(O51*'Assumptions'!$B$5,0),0)</x:f>
        <x:v>0</x:v>
      </x:c>
      <x:c r="U51" s="40"/>
      <x:c r="V51" s="40"/>
      <x:c r="W51" s="40"/>
      <x:c r="X51" s="40" t="n">
        <x:f>SUM(R51,T51:W51)</x:f>
        <x:v>0</x:v>
      </x:c>
      <x:c r="Y51" s="42" t="n">
        <x:f>MAX(O51-X51,0)</x:f>
        <x:v>0</x:v>
      </x:c>
      <x:c r="Z51" s="40" t="n">
        <x:f>IF(P51="Yes",ROUND(IF(Q51="Yes",K51,MIN(K51,'Assumptions'!$B$8))*'Assumptions'!$B$9,0),0)</x:f>
        <x:v>0</x:v>
      </x:c>
      <x:c r="AA51" s="40" t="n">
        <x:f>IF(AND(S51="Yes",O51&lt;='Assumptions'!$B$7),ROUNDUP(O51*'Assumptions'!$B$6,0),0)</x:f>
        <x:v>0</x:v>
      </x:c>
      <x:c r="AB51" s="30"/>
    </x:row>
    <x:row r="52" ht="22" customHeight="1">
      <x:c r="A52" s="28"/>
      <x:c r="B52" s="28"/>
      <x:c r="C52" s="28"/>
      <x:c r="D52" s="28"/>
      <x:c r="E52" s="34"/>
      <x:c r="F52" s="34"/>
      <x:c r="G52" s="36"/>
      <x:c r="H52" s="36"/>
      <x:c r="I52" s="36"/>
      <x:c r="J52" s="36"/>
      <x:c r="K52" s="38" t="n">
        <x:f>IFERROR(G52*MIN(E52/F52,1),0)</x:f>
        <x:v>0</x:v>
      </x:c>
      <x:c r="L52" s="38" t="n">
        <x:f>IFERROR(H52*MIN(E52/F52,1),0)</x:f>
        <x:v>0</x:v>
      </x:c>
      <x:c r="M52" s="38" t="n">
        <x:f>IFERROR(I52*MIN(E52/F52,1),0)</x:f>
        <x:v>0</x:v>
      </x:c>
      <x:c r="N52" s="38" t="n">
        <x:f>IFERROR(J52*MIN(E52/F52,1),0)</x:f>
        <x:v>0</x:v>
      </x:c>
      <x:c r="O52" s="38" t="n">
        <x:f>SUM(K52:N52)</x:f>
        <x:v>0</x:v>
      </x:c>
      <x:c r="P52" s="30"/>
      <x:c r="Q52" s="30"/>
      <x:c r="R52" s="40" t="n">
        <x:f>IF(P52="Yes",ROUND(IF(Q52="Yes",K52,MIN(K52,'Assumptions'!$B$8))*'Assumptions'!$B$4,0),0)</x:f>
        <x:v>0</x:v>
      </x:c>
      <x:c r="S52" s="30"/>
      <x:c r="T52" s="40" t="n">
        <x:f>IF(AND(S52="Yes",O52&lt;='Assumptions'!$B$7),ROUNDUP(O52*'Assumptions'!$B$5,0),0)</x:f>
        <x:v>0</x:v>
      </x:c>
      <x:c r="U52" s="40"/>
      <x:c r="V52" s="40"/>
      <x:c r="W52" s="40"/>
      <x:c r="X52" s="40" t="n">
        <x:f>SUM(R52,T52:W52)</x:f>
        <x:v>0</x:v>
      </x:c>
      <x:c r="Y52" s="42" t="n">
        <x:f>MAX(O52-X52,0)</x:f>
        <x:v>0</x:v>
      </x:c>
      <x:c r="Z52" s="40" t="n">
        <x:f>IF(P52="Yes",ROUND(IF(Q52="Yes",K52,MIN(K52,'Assumptions'!$B$8))*'Assumptions'!$B$9,0),0)</x:f>
        <x:v>0</x:v>
      </x:c>
      <x:c r="AA52" s="40" t="n">
        <x:f>IF(AND(S52="Yes",O52&lt;='Assumptions'!$B$7),ROUNDUP(O52*'Assumptions'!$B$6,0),0)</x:f>
        <x:v>0</x:v>
      </x:c>
      <x:c r="AB52" s="30"/>
    </x:row>
    <x:row r="53" ht="22" customHeight="1">
      <x:c r="A53" s="28"/>
      <x:c r="B53" s="28"/>
      <x:c r="C53" s="28"/>
      <x:c r="D53" s="28"/>
      <x:c r="E53" s="34"/>
      <x:c r="F53" s="34"/>
      <x:c r="G53" s="36"/>
      <x:c r="H53" s="36"/>
      <x:c r="I53" s="36"/>
      <x:c r="J53" s="36"/>
      <x:c r="K53" s="38" t="n">
        <x:f>IFERROR(G53*MIN(E53/F53,1),0)</x:f>
        <x:v>0</x:v>
      </x:c>
      <x:c r="L53" s="38" t="n">
        <x:f>IFERROR(H53*MIN(E53/F53,1),0)</x:f>
        <x:v>0</x:v>
      </x:c>
      <x:c r="M53" s="38" t="n">
        <x:f>IFERROR(I53*MIN(E53/F53,1),0)</x:f>
        <x:v>0</x:v>
      </x:c>
      <x:c r="N53" s="38" t="n">
        <x:f>IFERROR(J53*MIN(E53/F53,1),0)</x:f>
        <x:v>0</x:v>
      </x:c>
      <x:c r="O53" s="38" t="n">
        <x:f>SUM(K53:N53)</x:f>
        <x:v>0</x:v>
      </x:c>
      <x:c r="P53" s="30"/>
      <x:c r="Q53" s="30"/>
      <x:c r="R53" s="40" t="n">
        <x:f>IF(P53="Yes",ROUND(IF(Q53="Yes",K53,MIN(K53,'Assumptions'!$B$8))*'Assumptions'!$B$4,0),0)</x:f>
        <x:v>0</x:v>
      </x:c>
      <x:c r="S53" s="30"/>
      <x:c r="T53" s="40" t="n">
        <x:f>IF(AND(S53="Yes",O53&lt;='Assumptions'!$B$7),ROUNDUP(O53*'Assumptions'!$B$5,0),0)</x:f>
        <x:v>0</x:v>
      </x:c>
      <x:c r="U53" s="40"/>
      <x:c r="V53" s="40"/>
      <x:c r="W53" s="40"/>
      <x:c r="X53" s="40" t="n">
        <x:f>SUM(R53,T53:W53)</x:f>
        <x:v>0</x:v>
      </x:c>
      <x:c r="Y53" s="42" t="n">
        <x:f>MAX(O53-X53,0)</x:f>
        <x:v>0</x:v>
      </x:c>
      <x:c r="Z53" s="40" t="n">
        <x:f>IF(P53="Yes",ROUND(IF(Q53="Yes",K53,MIN(K53,'Assumptions'!$B$8))*'Assumptions'!$B$9,0),0)</x:f>
        <x:v>0</x:v>
      </x:c>
      <x:c r="AA53" s="40" t="n">
        <x:f>IF(AND(S53="Yes",O53&lt;='Assumptions'!$B$7),ROUNDUP(O53*'Assumptions'!$B$6,0),0)</x:f>
        <x:v>0</x:v>
      </x:c>
      <x:c r="AB53" s="30"/>
    </x:row>
    <x:row r="54" ht="22" customHeight="1">
      <x:c r="A54" s="28"/>
      <x:c r="B54" s="28"/>
      <x:c r="C54" s="28"/>
      <x:c r="D54" s="28"/>
      <x:c r="E54" s="34"/>
      <x:c r="F54" s="34"/>
      <x:c r="G54" s="36"/>
      <x:c r="H54" s="36"/>
      <x:c r="I54" s="36"/>
      <x:c r="J54" s="36"/>
      <x:c r="K54" s="38" t="n">
        <x:f>IFERROR(G54*MIN(E54/F54,1),0)</x:f>
        <x:v>0</x:v>
      </x:c>
      <x:c r="L54" s="38" t="n">
        <x:f>IFERROR(H54*MIN(E54/F54,1),0)</x:f>
        <x:v>0</x:v>
      </x:c>
      <x:c r="M54" s="38" t="n">
        <x:f>IFERROR(I54*MIN(E54/F54,1),0)</x:f>
        <x:v>0</x:v>
      </x:c>
      <x:c r="N54" s="38" t="n">
        <x:f>IFERROR(J54*MIN(E54/F54,1),0)</x:f>
        <x:v>0</x:v>
      </x:c>
      <x:c r="O54" s="38" t="n">
        <x:f>SUM(K54:N54)</x:f>
        <x:v>0</x:v>
      </x:c>
      <x:c r="P54" s="30"/>
      <x:c r="Q54" s="30"/>
      <x:c r="R54" s="40" t="n">
        <x:f>IF(P54="Yes",ROUND(IF(Q54="Yes",K54,MIN(K54,'Assumptions'!$B$8))*'Assumptions'!$B$4,0),0)</x:f>
        <x:v>0</x:v>
      </x:c>
      <x:c r="S54" s="30"/>
      <x:c r="T54" s="40" t="n">
        <x:f>IF(AND(S54="Yes",O54&lt;='Assumptions'!$B$7),ROUNDUP(O54*'Assumptions'!$B$5,0),0)</x:f>
        <x:v>0</x:v>
      </x:c>
      <x:c r="U54" s="40"/>
      <x:c r="V54" s="40"/>
      <x:c r="W54" s="40"/>
      <x:c r="X54" s="40" t="n">
        <x:f>SUM(R54,T54:W54)</x:f>
        <x:v>0</x:v>
      </x:c>
      <x:c r="Y54" s="42" t="n">
        <x:f>MAX(O54-X54,0)</x:f>
        <x:v>0</x:v>
      </x:c>
      <x:c r="Z54" s="40" t="n">
        <x:f>IF(P54="Yes",ROUND(IF(Q54="Yes",K54,MIN(K54,'Assumptions'!$B$8))*'Assumptions'!$B$9,0),0)</x:f>
        <x:v>0</x:v>
      </x:c>
      <x:c r="AA54" s="40" t="n">
        <x:f>IF(AND(S54="Yes",O54&lt;='Assumptions'!$B$7),ROUNDUP(O54*'Assumptions'!$B$6,0),0)</x:f>
        <x:v>0</x:v>
      </x:c>
      <x:c r="AB54" s="30"/>
    </x:row>
    <x:row r="55" ht="22" customHeight="1">
      <x:c r="A55" s="28"/>
      <x:c r="B55" s="28"/>
      <x:c r="C55" s="28"/>
      <x:c r="D55" s="28"/>
      <x:c r="E55" s="34"/>
      <x:c r="F55" s="34"/>
      <x:c r="G55" s="36"/>
      <x:c r="H55" s="36"/>
      <x:c r="I55" s="36"/>
      <x:c r="J55" s="36"/>
      <x:c r="K55" s="38" t="n">
        <x:f>IFERROR(G55*MIN(E55/F55,1),0)</x:f>
        <x:v>0</x:v>
      </x:c>
      <x:c r="L55" s="38" t="n">
        <x:f>IFERROR(H55*MIN(E55/F55,1),0)</x:f>
        <x:v>0</x:v>
      </x:c>
      <x:c r="M55" s="38" t="n">
        <x:f>IFERROR(I55*MIN(E55/F55,1),0)</x:f>
        <x:v>0</x:v>
      </x:c>
      <x:c r="N55" s="38" t="n">
        <x:f>IFERROR(J55*MIN(E55/F55,1),0)</x:f>
        <x:v>0</x:v>
      </x:c>
      <x:c r="O55" s="38" t="n">
        <x:f>SUM(K55:N55)</x:f>
        <x:v>0</x:v>
      </x:c>
      <x:c r="P55" s="30"/>
      <x:c r="Q55" s="30"/>
      <x:c r="R55" s="40" t="n">
        <x:f>IF(P55="Yes",ROUND(IF(Q55="Yes",K55,MIN(K55,'Assumptions'!$B$8))*'Assumptions'!$B$4,0),0)</x:f>
        <x:v>0</x:v>
      </x:c>
      <x:c r="S55" s="30"/>
      <x:c r="T55" s="40" t="n">
        <x:f>IF(AND(S55="Yes",O55&lt;='Assumptions'!$B$7),ROUNDUP(O55*'Assumptions'!$B$5,0),0)</x:f>
        <x:v>0</x:v>
      </x:c>
      <x:c r="U55" s="40"/>
      <x:c r="V55" s="40"/>
      <x:c r="W55" s="40"/>
      <x:c r="X55" s="40" t="n">
        <x:f>SUM(R55,T55:W55)</x:f>
        <x:v>0</x:v>
      </x:c>
      <x:c r="Y55" s="42" t="n">
        <x:f>MAX(O55-X55,0)</x:f>
        <x:v>0</x:v>
      </x:c>
      <x:c r="Z55" s="40" t="n">
        <x:f>IF(P55="Yes",ROUND(IF(Q55="Yes",K55,MIN(K55,'Assumptions'!$B$8))*'Assumptions'!$B$9,0),0)</x:f>
        <x:v>0</x:v>
      </x:c>
      <x:c r="AA55" s="40" t="n">
        <x:f>IF(AND(S55="Yes",O55&lt;='Assumptions'!$B$7),ROUNDUP(O55*'Assumptions'!$B$6,0),0)</x:f>
        <x:v>0</x:v>
      </x:c>
      <x:c r="AB55" s="30"/>
    </x:row>
    <x:row r="56" ht="22" customHeight="1">
      <x:c r="A56" s="31"/>
      <x:c r="B56" s="31"/>
      <x:c r="C56" s="31"/>
      <x:c r="D56" s="31"/>
      <x:c r="E56" s="35"/>
      <x:c r="F56" s="35"/>
      <x:c r="G56" s="37"/>
      <x:c r="H56" s="37"/>
      <x:c r="I56" s="37"/>
      <x:c r="J56" s="37"/>
      <x:c r="K56" s="39" t="n">
        <x:f>IFERROR(G56*MIN(E56/F56,1),0)</x:f>
        <x:v>0</x:v>
      </x:c>
      <x:c r="L56" s="39" t="n">
        <x:f>IFERROR(H56*MIN(E56/F56,1),0)</x:f>
        <x:v>0</x:v>
      </x:c>
      <x:c r="M56" s="39" t="n">
        <x:f>IFERROR(I56*MIN(E56/F56,1),0)</x:f>
        <x:v>0</x:v>
      </x:c>
      <x:c r="N56" s="39" t="n">
        <x:f>IFERROR(J56*MIN(E56/F56,1),0)</x:f>
        <x:v>0</x:v>
      </x:c>
      <x:c r="O56" s="39" t="n">
        <x:f>SUM(K56:N56)</x:f>
        <x:v>0</x:v>
      </x:c>
      <x:c r="P56" s="33"/>
      <x:c r="Q56" s="33"/>
      <x:c r="R56" s="41" t="n">
        <x:f>IF(P56="Yes",ROUND(IF(Q56="Yes",K56,MIN(K56,'Assumptions'!$B$8))*'Assumptions'!$B$4,0),0)</x:f>
        <x:v>0</x:v>
      </x:c>
      <x:c r="S56" s="33"/>
      <x:c r="T56" s="41" t="n">
        <x:f>IF(AND(S56="Yes",O56&lt;='Assumptions'!$B$7),ROUNDUP(O56*'Assumptions'!$B$5,0),0)</x:f>
        <x:v>0</x:v>
      </x:c>
      <x:c r="U56" s="41"/>
      <x:c r="V56" s="41"/>
      <x:c r="W56" s="41"/>
      <x:c r="X56" s="41" t="n">
        <x:f>SUM(R56,T56:W56)</x:f>
        <x:v>0</x:v>
      </x:c>
      <x:c r="Y56" s="43" t="n">
        <x:f>MAX(O56-X56,0)</x:f>
        <x:v>0</x:v>
      </x:c>
      <x:c r="Z56" s="41" t="n">
        <x:f>IF(P56="Yes",ROUND(IF(Q56="Yes",K56,MIN(K56,'Assumptions'!$B$8))*'Assumptions'!$B$9,0),0)</x:f>
        <x:v>0</x:v>
      </x:c>
      <x:c r="AA56" s="41" t="n">
        <x:f>IF(AND(S56="Yes",O56&lt;='Assumptions'!$B$7),ROUNDUP(O56*'Assumptions'!$B$6,0),0)</x:f>
        <x:v>0</x:v>
      </x:c>
      <x:c r="AB56" s="33"/>
    </x:row>
  </x:sheetData>
  <x:mergeCells>
    <x:mergeCell ref="A1:AB1"/>
    <x:mergeCell ref="A2:AB2"/>
  </x:mergeCells>
  <x:conditionalFormatting sqref="O7:O56">
    <x:cfRule type="cellIs" dxfId="0" priority="1" operator="lessThan">
      <x:formula>0</x:formula>
    </x:cfRule>
  </x:conditionalFormatting>
  <x:dataValidations count="2">
    <x:dataValidation type="list" sqref="P7:Q56">
      <x:formula1>"Yes,No"</x:formula1>
    </x:dataValidation>
    <x:dataValidation type="list" sqref="S7:S56">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3" t="str">
        <x:v>How to use the monthly payroll working paper</x:v>
      </x:c>
      <x:c r="B1" s="3"/>
      <x:c r="C1" s="3"/>
      <x:c r="D1" s="3"/>
      <x:c r="E1" s="3"/>
      <x:c r="F1" s="3"/>
      <x:c r="G1" s="3"/>
      <x:c r="H1" s="3"/>
    </x:row>
    <x:row r="3" ht="22" customHeight="1">
      <x:c r="A3" s="49" t="str">
        <x:v>1 · Replace the examples</x:v>
      </x:c>
      <x:c r="B3" s="49"/>
      <x:c r="C3" s="49"/>
      <x:c r="D3" s="49"/>
      <x:c r="E3" s="49"/>
      <x:c r="F3" s="49"/>
      <x:c r="G3" s="49"/>
      <x:c r="H3" s="49"/>
    </x:row>
    <x:row r="4" ht="22" customHeight="1">
      <x:c r="A4" s="46" t="str">
        <x:v>Delete or overwrite the three example employees on the Monthly Payroll sheet. Yellow cells are intended inputs; green cells contain formulas. Do not paste values over formula columns K:O, R, T and X:AA.</x:v>
      </x:c>
      <x:c r="B4" s="46"/>
      <x:c r="C4" s="46"/>
      <x:c r="D4" s="46"/>
      <x:c r="E4" s="46"/>
      <x:c r="F4" s="46"/>
      <x:c r="G4" s="46"/>
      <x:c r="H4" s="46"/>
    </x:row>
    <x:row r="5" ht="22" customHeight="1">
      <x:c r="A5" s="46"/>
      <x:c r="B5" s="46"/>
      <x:c r="C5" s="46"/>
      <x:c r="D5" s="46"/>
      <x:c r="E5" s="46"/>
      <x:c r="F5" s="46"/>
      <x:c r="G5" s="46"/>
      <x:c r="H5" s="46"/>
    </x:row>
    <x:row r="6" ht="22" customHeight="1">
      <x:c r="A6" s="46"/>
      <x:c r="B6" s="46"/>
      <x:c r="C6" s="46"/>
      <x:c r="D6" s="46"/>
      <x:c r="E6" s="46"/>
      <x:c r="F6" s="46"/>
      <x:c r="G6" s="46"/>
      <x:c r="H6" s="46"/>
    </x:row>
    <x:row r="7" ht="22" customHeight="1">
      <x:c r="A7" s="49" t="str">
        <x:v>2 · Complete monthly inputs</x:v>
      </x:c>
      <x:c r="B7" s="49"/>
      <x:c r="C7" s="49"/>
      <x:c r="D7" s="49"/>
      <x:c r="E7" s="49"/>
      <x:c r="F7" s="49"/>
      <x:c r="G7" s="49"/>
      <x:c r="H7" s="49"/>
    </x:row>
    <x:row r="8" ht="22" customHeight="1">
      <x:c r="A8" s="46" t="str">
        <x:v>Enter monthly salary components and paid/working days. Earnings are prorated by paid days ÷ working days, capped at 100%. Enter Professional Tax, TDS and other deductions only after verification.</x:v>
      </x:c>
      <x:c r="B8" s="46"/>
      <x:c r="C8" s="46"/>
      <x:c r="D8" s="46"/>
      <x:c r="E8" s="46"/>
      <x:c r="F8" s="46"/>
      <x:c r="G8" s="46"/>
      <x:c r="H8" s="46"/>
    </x:row>
    <x:row r="9" ht="22" customHeight="1">
      <x:c r="A9" s="46"/>
      <x:c r="B9" s="46"/>
      <x:c r="C9" s="46"/>
      <x:c r="D9" s="46"/>
      <x:c r="E9" s="46"/>
      <x:c r="F9" s="46"/>
      <x:c r="G9" s="46"/>
      <x:c r="H9" s="46"/>
    </x:row>
    <x:row r="10" ht="22" customHeight="1">
      <x:c r="A10" s="46"/>
      <x:c r="B10" s="46"/>
      <x:c r="C10" s="46"/>
      <x:c r="D10" s="46"/>
      <x:c r="E10" s="46"/>
      <x:c r="F10" s="46"/>
      <x:c r="G10" s="46"/>
      <x:c r="H10" s="46"/>
    </x:row>
    <x:row r="11" ht="22" customHeight="1">
      <x:c r="A11" s="49" t="str">
        <x:v>3 · Review PF and ESI choices</x:v>
      </x:c>
      <x:c r="B11" s="49"/>
      <x:c r="C11" s="49"/>
      <x:c r="D11" s="49"/>
      <x:c r="E11" s="49"/>
      <x:c r="F11" s="49"/>
      <x:c r="G11" s="49"/>
      <x:c r="H11" s="49"/>
    </x:row>
    <x:row r="12" ht="22" customHeight="1">
      <x:c r="A12" s="46" t="str">
        <x:v>PF is estimated from prorated Basic using the Assumptions sheet. ESI is calculated only when ESI Applies? is Yes and gross does not exceed the listed ceiling. Existing ESI coverage can continue through a contribution period after wages cross the ceiling, so confirm employee history.</x:v>
      </x:c>
      <x:c r="B12" s="46"/>
      <x:c r="C12" s="46"/>
      <x:c r="D12" s="46"/>
      <x:c r="E12" s="46"/>
      <x:c r="F12" s="46"/>
      <x:c r="G12" s="46"/>
      <x:c r="H12" s="46"/>
    </x:row>
    <x:row r="13" ht="22" customHeight="1">
      <x:c r="A13" s="46"/>
      <x:c r="B13" s="46"/>
      <x:c r="C13" s="46"/>
      <x:c r="D13" s="46"/>
      <x:c r="E13" s="46"/>
      <x:c r="F13" s="46"/>
      <x:c r="G13" s="46"/>
      <x:c r="H13" s="46"/>
    </x:row>
    <x:row r="14" ht="22" customHeight="1">
      <x:c r="A14" s="46"/>
      <x:c r="B14" s="46"/>
      <x:c r="C14" s="46"/>
      <x:c r="D14" s="46"/>
      <x:c r="E14" s="46"/>
      <x:c r="F14" s="46"/>
      <x:c r="G14" s="46"/>
      <x:c r="H14" s="46"/>
    </x:row>
    <x:row r="15" ht="22" customHeight="1">
      <x:c r="A15" s="49" t="str">
        <x:v>4 · Reconcile before payment</x:v>
      </x:c>
      <x:c r="B15" s="49"/>
      <x:c r="C15" s="49"/>
      <x:c r="D15" s="49"/>
      <x:c r="E15" s="49"/>
      <x:c r="F15" s="49"/>
      <x:c r="G15" s="49"/>
      <x:c r="H15" s="49"/>
    </x:row>
    <x:row r="16" ht="22" customHeight="1">
      <x:c r="A16" s="46" t="str">
        <x:v>Tie Total Net Pay to the approved bank file. Compare gross, deductions and employer contributions with the prior month. Investigate zero net pay, unusual proration, missing identifiers and manual deduction changes.</x:v>
      </x:c>
      <x:c r="B16" s="46"/>
      <x:c r="C16" s="46"/>
      <x:c r="D16" s="46"/>
      <x:c r="E16" s="46"/>
      <x:c r="F16" s="46"/>
      <x:c r="G16" s="46"/>
      <x:c r="H16" s="46"/>
    </x:row>
    <x:row r="17" ht="22" customHeight="1">
      <x:c r="A17" s="46"/>
      <x:c r="B17" s="46"/>
      <x:c r="C17" s="46"/>
      <x:c r="D17" s="46"/>
      <x:c r="E17" s="46"/>
      <x:c r="F17" s="46"/>
      <x:c r="G17" s="46"/>
      <x:c r="H17" s="46"/>
    </x:row>
    <x:row r="18" ht="22" customHeight="1">
      <x:c r="A18" s="46"/>
      <x:c r="B18" s="46"/>
      <x:c r="C18" s="46"/>
      <x:c r="D18" s="46"/>
      <x:c r="E18" s="46"/>
      <x:c r="F18" s="46"/>
      <x:c r="G18" s="46"/>
      <x:c r="H18" s="46"/>
    </x:row>
    <x:row r="19" ht="22" customHeight="1">
      <x:c r="A19" s="49" t="str">
        <x:v>Important limitation</x:v>
      </x:c>
      <x:c r="B19" s="49"/>
      <x:c r="C19" s="49"/>
      <x:c r="D19" s="49"/>
      <x:c r="E19" s="49"/>
      <x:c r="F19" s="49"/>
      <x:c r="G19" s="49"/>
      <x:c r="H19" s="49"/>
    </x:row>
    <x:row r="20" ht="22" customHeight="1">
      <x:c r="A20" s="46" t="str">
        <x:v>This workbook is an operational template, not legal, tax or accounting advice. It does not calculate income tax, gratuity, bonus, state-specific PT or organisation-specific wage definitions. Verify current rules before live payroll.</x:v>
      </x:c>
      <x:c r="B20" s="46"/>
      <x:c r="C20" s="46"/>
      <x:c r="D20" s="46"/>
      <x:c r="E20" s="46"/>
      <x:c r="F20" s="46"/>
      <x:c r="G20" s="46"/>
      <x:c r="H20" s="46"/>
    </x:row>
    <x:row r="21" ht="22" customHeight="1">
      <x:c r="A21" s="46"/>
      <x:c r="B21" s="46"/>
      <x:c r="C21" s="46"/>
      <x:c r="D21" s="46"/>
      <x:c r="E21" s="46"/>
      <x:c r="F21" s="46"/>
      <x:c r="G21" s="46"/>
      <x:c r="H21" s="46"/>
    </x:row>
    <x:row r="22" ht="22" customHeight="1">
      <x:c r="A22" s="46"/>
      <x:c r="B22" s="46"/>
      <x:c r="C22" s="46"/>
      <x:c r="D22" s="46"/>
      <x:c r="E22" s="46"/>
      <x:c r="F22" s="46"/>
      <x:c r="G22" s="46"/>
      <x:c r="H22" s="46"/>
    </x:row>
    <x:row r="23" ht="22" customHeight="1">
      <x:c r="A23" s="46"/>
      <x:c r="B23" s="46"/>
      <x:c r="C23" s="46"/>
      <x:c r="D23" s="46"/>
      <x:c r="E23" s="46"/>
      <x:c r="F23" s="46"/>
      <x:c r="G23" s="46"/>
      <x:c r="H23" s="46"/>
    </x:row>
    <x:row r="24" ht="22" customHeight="1">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sheetData>
  <x:mergeCells>
    <x:mergeCell ref="A1:H1"/>
    <x:mergeCell ref="A3:H3"/>
    <x:mergeCell ref="A4:H5"/>
    <x:mergeCell ref="A7:H7"/>
    <x:mergeCell ref="A8:H9"/>
    <x:mergeCell ref="A11:H11"/>
    <x:mergeCell ref="A12:H13"/>
    <x:mergeCell ref="A15:H15"/>
    <x:mergeCell ref="A16:H17"/>
    <x:mergeCell ref="A19:H19"/>
    <x:mergeCell ref="A20:H2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72" hidden="0" customWidth="1"/>
  </x:cols>
  <x:sheetData>
    <x:row r="1" ht="32" customHeight="1">
      <x:c r="A1" s="51" t="str">
        <x:v>Statutory assumptions · review before use</x:v>
      </x:c>
      <x:c r="B1" s="51"/>
      <x:c r="C1" s="51"/>
      <x:c r="D1" s="51"/>
    </x:row>
    <x:row r="3" ht="34" customHeight="1">
      <x:c r="A3" s="19" t="str">
        <x:v>Assumption</x:v>
      </x:c>
      <x:c r="B3" s="19" t="str">
        <x:v>Value</x:v>
      </x:c>
      <x:c r="C3" s="19" t="str">
        <x:v>Reviewed</x:v>
      </x:c>
      <x:c r="D3" s="19" t="str">
        <x:v>Official source</x:v>
      </x:c>
    </x:row>
    <x:row r="4">
      <x:c r="A4" s="52" t="str">
        <x:v>Employee PF rate</x:v>
      </x:c>
      <x:c r="B4" s="54" t="n">
        <x:v>0.12</x:v>
      </x:c>
      <x:c r="C4" s="57" t="n">
        <x:v>46244</x:v>
      </x:c>
      <x:c r="D4" s="59" t="str">
        <x:v>https://www.epfindia.gov.in/site_en/FAQ.php/index.php</x:v>
      </x:c>
    </x:row>
    <x:row r="5">
      <x:c r="A5" s="52" t="str">
        <x:v>Employee ESI rate</x:v>
      </x:c>
      <x:c r="B5" s="54" t="n">
        <x:v>0.0075</x:v>
      </x:c>
      <x:c r="C5" s="57" t="n">
        <x:v>46244</x:v>
      </x:c>
      <x:c r="D5" s="59" t="str">
        <x:v>https://esic.gov.in/attachments/citizens_charter/citizens_charter_1751627535.pdf</x:v>
      </x:c>
    </x:row>
    <x:row r="6">
      <x:c r="A6" s="52" t="str">
        <x:v>Employer ESI rate</x:v>
      </x:c>
      <x:c r="B6" s="54" t="n">
        <x:v>0.0325</x:v>
      </x:c>
      <x:c r="C6" s="57" t="n">
        <x:v>46244</x:v>
      </x:c>
      <x:c r="D6" s="59" t="str">
        <x:v>https://esic.gov.in/attachments/citizens_charter/citizens_charter_1751627535.pdf</x:v>
      </x:c>
    </x:row>
    <x:row r="7">
      <x:c r="A7" s="52" t="str">
        <x:v>ESI standard wage ceiling</x:v>
      </x:c>
      <x:c r="B7" s="56" t="n">
        <x:v>21000</x:v>
      </x:c>
      <x:c r="C7" s="57" t="n">
        <x:v>46244</x:v>
      </x:c>
      <x:c r="D7" s="59" t="str">
        <x:v>https://esic.gov.in/attachments/citizens_charter/citizens_charter_1751627535.pdf</x:v>
      </x:c>
    </x:row>
    <x:row r="8">
      <x:c r="A8" s="52" t="str">
        <x:v>PF contribution wage ceiling</x:v>
      </x:c>
      <x:c r="B8" s="56" t="n">
        <x:v>15000</x:v>
      </x:c>
      <x:c r="C8" s="57" t="n">
        <x:v>46244</x:v>
      </x:c>
      <x:c r="D8" s="59" t="str">
        <x:v>https://www.epfindia.gov.in/site_en/FAQ.php/index.php</x:v>
      </x:c>
    </x:row>
    <x:row r="9">
      <x:c r="A9" s="53" t="str">
        <x:v>Employer PF rate</x:v>
      </x:c>
      <x:c r="B9" s="55" t="n">
        <x:v>0.12</x:v>
      </x:c>
      <x:c r="C9" s="58" t="n">
        <x:v>46244</x:v>
      </x:c>
      <x:c r="D9" s="60" t="str">
        <x:v>https://www.epfindia.gov.in/site_en/FAQ.php/index.php</x:v>
      </x:c>
    </x:row>
  </x:sheetData>
  <x:mergeCells>
    <x:mergeCell ref="A1:D1"/>
  </x:mergeCells>
  <x:pageMargins left="0.7" right="0.7" top="0.75" bottom="0.75" header="0.3" footer="0.3"/>
</x:worksheet>
</file>