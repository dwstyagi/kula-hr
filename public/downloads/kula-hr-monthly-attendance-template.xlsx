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5559bf8e9a4e5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nthly Attendance" sheetId="1" r:id="R9f2147cb355749ab"/>
    <x:sheet xmlns:r="http://schemas.openxmlformats.org/officeDocument/2006/relationships" name="Instructions" sheetId="2" r:id="R80cf33dfd4e84a5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#,##0.0"/>
    <x:numFmt numFmtId="202" formatCode="0.0"/>
  </x:numFmts>
  <x:fonts count="8">
    <x:font>
      <x:sz val="11"/>
      <x:name val="Carlito"/>
    </x:font>
    <x:font>
      <x:b/>
      <x:sz val="22"/>
      <x:color rgb="FFFFFFFF"/>
      <x:name val="Aptos Display"/>
    </x:font>
    <x:font>
      <x:sz val="10"/>
      <x:color rgb="FF78716C"/>
      <x:name val="Aptos"/>
    </x:font>
    <x:font>
      <x:sz val="10"/>
      <x:color rgb="FF1C1917"/>
      <x:name val="Aptos"/>
    </x:font>
    <x:font>
      <x:b/>
      <x:sz val="9"/>
      <x:color rgb="FF78716C"/>
      <x:name val="Aptos"/>
    </x:font>
    <x:font>
      <x:b/>
      <x:sz val="11"/>
      <x:color rgb="FF17392D"/>
      <x:name val="Aptos"/>
    </x:font>
    <x:font>
      <x:b/>
      <x:sz val="9"/>
      <x:color rgb="FFFFFFFF"/>
      <x:name val="Aptos"/>
    </x:font>
    <x:font>
      <x:sz val="9"/>
      <x:color rgb="FF1C1917"/>
      <x:name val="Aptos"/>
    </x:font>
  </x:fonts>
  <x:fills count="7">
    <x:fill>
      <x:patternFill patternType="none"/>
    </x:fill>
    <x:fill>
      <x:patternFill patternType="gray125"/>
    </x:fill>
    <x:fill>
      <x:patternFill patternType="solid">
        <x:fgColor rgb="FF17392D"/>
      </x:patternFill>
    </x:fill>
    <x:fill>
      <x:patternFill patternType="solid">
        <x:fgColor rgb="FFF5F5F4"/>
      </x:patternFill>
    </x:fill>
    <x:fill>
      <x:patternFill patternType="solid">
        <x:fgColor rgb="FFEAF4EF"/>
      </x:patternFill>
    </x:fill>
    <x:fill>
      <x:patternFill patternType="solid">
        <x:fgColor rgb="FFFFF4CF"/>
      </x:patternFill>
    </x:fill>
    <x:fill>
      <x:patternFill patternType="solid">
        <x:fgColor rgb="FFFFE9A8"/>
      </x:patternFill>
    </x:fill>
  </x:fills>
  <x:borders count="2">
    <x:border/>
    <x:border>
      <x:bottom/>
    </x:border>
  </x:borders>
  <x:cellStyleXfs count="1">
    <x:xf numFmtId="0" fontId="0" fillId="0" borderId="0"/>
  </x:cellStyleXfs>
  <x:cellXfs count="4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4" fillId="3" borderId="1" xfId="0" applyNumberFormat="1" applyFont="1" applyFill="1" applyBorder="1"/>
    <x:xf numFmtId="0" fontId="3" fillId="4" borderId="1" xfId="0" applyNumberFormat="1" applyFont="1" applyFill="1" applyBorder="1"/>
    <x:xf numFmtId="0" fontId="5" fillId="4" borderId="1" xfId="0" applyNumberFormat="1" applyFont="1" applyFill="1" applyBorder="1"/>
    <x:xf numFmtId="200" fontId="5" fillId="4" borderId="1" xfId="0" applyNumberFormat="1" applyFont="1" applyFill="1" applyBorder="1"/>
    <x:xf numFmtId="201" fontId="3" fillId="3" borderId="1" xfId="0" applyNumberFormat="1" applyFont="1" applyFill="1" applyBorder="1"/>
    <x:xf numFmtId="200" fontId="3" fillId="3" borderId="1" xfId="0" applyNumberFormat="1" applyFont="1" applyFill="1" applyBorder="1"/>
    <x:xf numFmtId="0" fontId="6" fillId="2" borderId="0" xfId="0" applyNumberFormat="1" applyFont="1" applyFill="1" applyBorder="1"/>
    <x:xf numFmtId="0" fontId="6" fillId="2" borderId="1" xfId="0" applyNumberFormat="1" applyFont="1" applyFill="1" applyBorder="1"/>
    <x:xf numFmtId="0" fontId="6" fillId="2" borderId="1" xfId="0" applyNumberFormat="1" applyFont="1" applyFill="1" applyBorder="1" applyAlignment="1">
      <x:alignment wrapText="1"/>
    </x:xf>
    <x:xf numFmtId="0" fontId="6" fillId="2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0" fillId="6" borderId="0" xfId="0" applyNumberFormat="1" applyFont="1" applyFill="1" applyBorder="1"/>
    <x:xf numFmtId="0" fontId="0" fillId="4" borderId="0" xfId="0" applyNumberFormat="1" applyFont="1" applyFill="1" applyBorder="1"/>
    <x:xf numFmtId="0" fontId="7" fillId="5" borderId="0" xfId="0" applyNumberFormat="1" applyFont="1" applyFill="1" applyBorder="1"/>
    <x:xf numFmtId="0" fontId="7" fillId="6" borderId="0" xfId="0" applyNumberFormat="1" applyFont="1" applyFill="1" applyBorder="1"/>
    <x:xf numFmtId="0" fontId="7" fillId="4" borderId="0" xfId="0" applyNumberFormat="1" applyFont="1" applyFill="1" applyBorder="1"/>
    <x:xf numFmtId="0" fontId="7" fillId="5" borderId="1" xfId="0" applyNumberFormat="1" applyFont="1" applyFill="1" applyBorder="1"/>
    <x:xf numFmtId="0" fontId="7" fillId="6" borderId="1" xfId="0" applyNumberFormat="1" applyFont="1" applyFill="1" applyBorder="1"/>
    <x:xf numFmtId="0" fontId="7" fillId="4" borderId="1" xfId="0" applyNumberFormat="1" applyFont="1" applyFill="1" applyBorder="1"/>
    <x:xf numFmtId="0" fontId="7" fillId="5" borderId="0" xfId="0" applyNumberFormat="1" applyFont="1" applyFill="1" applyBorder="1" applyAlignment="1">
      <x:alignment vertical="center"/>
    </x:xf>
    <x:xf numFmtId="0" fontId="7" fillId="6" borderId="0" xfId="0" applyNumberFormat="1" applyFont="1" applyFill="1" applyBorder="1" applyAlignment="1">
      <x:alignment vertical="center"/>
    </x:xf>
    <x:xf numFmtId="0" fontId="7" fillId="4" borderId="0" xfId="0" applyNumberFormat="1" applyFont="1" applyFill="1" applyBorder="1" applyAlignment="1">
      <x:alignment vertical="center"/>
    </x:xf>
    <x:xf numFmtId="0" fontId="7" fillId="5" borderId="1" xfId="0" applyNumberFormat="1" applyFont="1" applyFill="1" applyBorder="1" applyAlignment="1">
      <x:alignment vertical="center"/>
    </x:xf>
    <x:xf numFmtId="0" fontId="7" fillId="6" borderId="1" xfId="0" applyNumberFormat="1" applyFont="1" applyFill="1" applyBorder="1" applyAlignment="1">
      <x:alignment vertical="center"/>
    </x:xf>
    <x:xf numFmtId="0" fontId="7" fillId="4" borderId="1" xfId="0" applyNumberFormat="1" applyFont="1" applyFill="1" applyBorder="1" applyAlignment="1">
      <x:alignment vertical="center"/>
    </x:xf>
    <x:xf numFmtId="202" fontId="7" fillId="5" borderId="0" xfId="0" applyNumberFormat="1" applyFont="1" applyFill="1" applyBorder="1" applyAlignment="1">
      <x:alignment vertical="center"/>
    </x:xf>
    <x:xf numFmtId="202" fontId="7" fillId="6" borderId="0" xfId="0" applyNumberFormat="1" applyFont="1" applyFill="1" applyBorder="1" applyAlignment="1">
      <x:alignment vertical="center"/>
    </x:xf>
    <x:xf numFmtId="202" fontId="7" fillId="4" borderId="0" xfId="0" applyNumberFormat="1" applyFont="1" applyFill="1" applyBorder="1" applyAlignment="1">
      <x:alignment vertical="center"/>
    </x:xf>
    <x:xf numFmtId="202" fontId="7" fillId="5" borderId="1" xfId="0" applyNumberFormat="1" applyFont="1" applyFill="1" applyBorder="1" applyAlignment="1">
      <x:alignment vertical="center"/>
    </x:xf>
    <x:xf numFmtId="202" fontId="7" fillId="6" borderId="1" xfId="0" applyNumberFormat="1" applyFont="1" applyFill="1" applyBorder="1" applyAlignment="1">
      <x:alignment vertical="center"/>
    </x:xf>
    <x:xf numFmtId="202" fontId="7" fillId="4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top"/>
    </x:xf>
    <x:xf numFmtId="0" fontId="3" fillId="0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top" wrapText="1"/>
    </x:xf>
    <x:xf numFmtId="0" fontId="5" fillId="4" borderId="0" xfId="0" applyNumberFormat="1" applyFont="1" applyFill="1" applyBorder="1" applyAlignment="1">
      <x:alignment vertical="top" wrapText="1"/>
    </x:xf>
    <x:xf numFmtId="0" fontId="5" fillId="4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"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17392D"/>
      </x:font>
      <x:fill>
        <x:patternFill patternType="solid">
          <x:bgColor rgb="FFEAF4E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d77a1b6b0cb4c15" /><Relationship Type="http://schemas.openxmlformats.org/officeDocument/2006/relationships/theme" Target="/xl/theme/theme1.xml" Id="Rf059acc27642432e" /><Relationship Type="http://schemas.openxmlformats.org/officeDocument/2006/relationships/sharedStrings" Target="/xl/sharedStrings.xml" Id="R3701fcd9437d4572" /><Relationship Type="http://schemas.openxmlformats.org/officeDocument/2006/relationships/worksheet" Target="/xl/worksheets/sheet1.xml" Id="R9f2147cb355749ab" /><Relationship Type="http://schemas.openxmlformats.org/officeDocument/2006/relationships/worksheet" Target="/xl/worksheets/sheet2.xml" Id="R80cf33dfd4e84a5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23" hidden="0" customWidth="1"/>
    <x:col min="3" max="3" width="18" hidden="0" customWidth="1"/>
    <x:col min="4" max="4" width="18" hidden="0" customWidth="1"/>
    <x:col min="5" max="5" width="15" hidden="0" customWidth="1"/>
    <x:col min="6" max="6" width="12" hidden="0" customWidth="1"/>
    <x:col min="7" max="7" width="18" hidden="0" customWidth="1"/>
    <x:col min="8" max="8" width="13" hidden="0" customWidth="1"/>
    <x:col min="9" max="9" width="15" hidden="0" customWidth="1"/>
    <x:col min="10" max="10" width="13" hidden="0" customWidth="1"/>
    <x:col min="11" max="11" width="16" hidden="0" customWidth="1"/>
  </x:cols>
  <x:sheetData>
    <x:row r="1" ht="34" customHeight="1">
      <x:c r="A1" s="3" t="str">
        <x:v>Kula HR · Monthly Attendance Working Paper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28" customHeight="1">
      <x:c r="A2" s="6" t="str">
        <x:v>The first 8 columns match Kula HR's attendance CSV · fill days_present and half_days after generating the month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</x:row>
    <x:row r="4">
      <x:c r="A4" s="9" t="str">
        <x:v>Employees</x:v>
      </x:c>
      <x:c r="B4" s="12" t="n">
        <x:f>COUNTA(A7:A56)</x:f>
        <x:v>3</x:v>
      </x:c>
      <x:c r="C4" s="8" t="str">
        <x:v>Total working days</x:v>
      </x:c>
      <x:c r="D4" s="13" t="n">
        <x:f>SUM(D7:D56)</x:f>
        <x:v>78</x:v>
      </x:c>
      <x:c r="E4" s="8" t="str">
        <x:v>Rows to review</x:v>
      </x:c>
      <x:c r="F4" s="14" t="n">
        <x:f>COUNTIF(K7:K56,"Review")</x:f>
        <x:v>1</x:v>
      </x:c>
    </x:row>
    <x:row r="6" ht="34" customHeight="1">
      <x:c r="A6" s="18" t="str">
        <x:v>employee_code</x:v>
      </x:c>
      <x:c r="B6" s="18" t="str">
        <x:v>employee_name</x:v>
      </x:c>
      <x:c r="C6" s="18" t="str">
        <x:v>department</x:v>
      </x:c>
      <x:c r="D6" s="18" t="str">
        <x:v>total_working_days</x:v>
      </x:c>
      <x:c r="E6" s="18" t="str">
        <x:v>days_present</x:v>
      </x:c>
      <x:c r="F6" s="18" t="str">
        <x:v>half_days</x:v>
      </x:c>
      <x:c r="G6" s="18" t="str">
        <x:v>approved_leaves</x:v>
      </x:c>
      <x:c r="H6" s="18" t="str">
        <x:v>lop_leaves</x:v>
      </x:c>
      <x:c r="I6" s="18" t="str">
        <x:v>accounted_days</x:v>
      </x:c>
      <x:c r="J6" s="18" t="str">
        <x:v>difference</x:v>
      </x:c>
      <x:c r="K6" s="18" t="str">
        <x:v>review_status</x:v>
      </x:c>
    </x:row>
    <x:row r="7" ht="22" customHeight="1">
      <x:c r="A7" s="28" t="str">
        <x:v>EMP-001</x:v>
      </x:c>
      <x:c r="B7" s="28" t="str">
        <x:v>Aarav Mehta</x:v>
      </x:c>
      <x:c r="C7" s="28" t="str">
        <x:v>Operations</x:v>
      </x:c>
      <x:c r="D7" s="34" t="n">
        <x:v>26</x:v>
      </x:c>
      <x:c r="E7" s="35" t="n">
        <x:v>24</x:v>
      </x:c>
      <x:c r="F7" s="35" t="n">
        <x:v>0</x:v>
      </x:c>
      <x:c r="G7" s="34" t="n">
        <x:v>1</x:v>
      </x:c>
      <x:c r="H7" s="34" t="n">
        <x:v>1</x:v>
      </x:c>
      <x:c r="I7" s="36" t="n">
        <x:f>IF(A7="",0,SUM(E7,G7,H7)+(F7*0.5))</x:f>
        <x:v>26</x:v>
      </x:c>
      <x:c r="J7" s="36" t="n">
        <x:f>IF(A7="",0,D7-I7)</x:f>
        <x:v>0</x:v>
      </x:c>
      <x:c r="K7" s="30" t="str">
        <x:f>IF(A7="","",IF(ABS(J7)&lt;0.01,"Balanced","Review"))</x:f>
        <x:v>Balanced</x:v>
      </x:c>
    </x:row>
    <x:row r="8" ht="22" customHeight="1">
      <x:c r="A8" s="28" t="str">
        <x:v>EMP-002</x:v>
      </x:c>
      <x:c r="B8" s="28" t="str">
        <x:v>Nisha Iyer</x:v>
      </x:c>
      <x:c r="C8" s="28" t="str">
        <x:v>Finance</x:v>
      </x:c>
      <x:c r="D8" s="34" t="n">
        <x:v>26</x:v>
      </x:c>
      <x:c r="E8" s="35" t="n">
        <x:v>23</x:v>
      </x:c>
      <x:c r="F8" s="35" t="n">
        <x:v>2</x:v>
      </x:c>
      <x:c r="G8" s="34" t="n">
        <x:v>2</x:v>
      </x:c>
      <x:c r="H8" s="34" t="n">
        <x:v>0</x:v>
      </x:c>
      <x:c r="I8" s="36" t="n">
        <x:f>IF(A8="",0,SUM(E8,G8,H8)+(F8*0.5))</x:f>
        <x:v>26</x:v>
      </x:c>
      <x:c r="J8" s="36" t="n">
        <x:f>IF(A8="",0,D8-I8)</x:f>
        <x:v>0</x:v>
      </x:c>
      <x:c r="K8" s="30" t="str">
        <x:f>IF(A8="","",IF(ABS(J8)&lt;0.01,"Balanced","Review"))</x:f>
        <x:v>Balanced</x:v>
      </x:c>
    </x:row>
    <x:row r="9" ht="22" customHeight="1">
      <x:c r="A9" s="28" t="str">
        <x:v>EMP-003</x:v>
      </x:c>
      <x:c r="B9" s="28" t="str">
        <x:v>Kabir Singh</x:v>
      </x:c>
      <x:c r="C9" s="28" t="str">
        <x:v>Engineering</x:v>
      </x:c>
      <x:c r="D9" s="34" t="n">
        <x:v>26</x:v>
      </x:c>
      <x:c r="E9" s="35" t="n">
        <x:v>24</x:v>
      </x:c>
      <x:c r="F9" s="35" t="n">
        <x:v>0</x:v>
      </x:c>
      <x:c r="G9" s="34" t="n">
        <x:v>1</x:v>
      </x:c>
      <x:c r="H9" s="34" t="n">
        <x:v>0</x:v>
      </x:c>
      <x:c r="I9" s="36" t="n">
        <x:f>IF(A9="",0,SUM(E9,G9,H9)+(F9*0.5))</x:f>
        <x:v>25</x:v>
      </x:c>
      <x:c r="J9" s="36" t="n">
        <x:f>IF(A9="",0,D9-I9)</x:f>
        <x:v>1</x:v>
      </x:c>
      <x:c r="K9" s="30" t="str">
        <x:f>IF(A9="","",IF(ABS(J9)&lt;0.01,"Balanced","Review"))</x:f>
        <x:v>Review</x:v>
      </x:c>
    </x:row>
    <x:row r="10" ht="22" customHeight="1">
      <x:c r="A10" s="28"/>
      <x:c r="B10" s="28"/>
      <x:c r="C10" s="28"/>
      <x:c r="D10" s="34"/>
      <x:c r="E10" s="35"/>
      <x:c r="F10" s="35"/>
      <x:c r="G10" s="34"/>
      <x:c r="H10" s="34"/>
      <x:c r="I10" s="36" t="n">
        <x:f>IF(A10="",0,SUM(E10,G10,H10)+(F10*0.5))</x:f>
        <x:v>0</x:v>
      </x:c>
      <x:c r="J10" s="36" t="n">
        <x:f>IF(A10="",0,D10-I10)</x:f>
        <x:v>0</x:v>
      </x:c>
      <x:c r="K10" s="30" t="str">
        <x:f>IF(A10="","",IF(ABS(J10)&lt;0.01,"Balanced","Review"))</x:f>
      </x:c>
    </x:row>
    <x:row r="11" ht="22" customHeight="1">
      <x:c r="A11" s="28"/>
      <x:c r="B11" s="28"/>
      <x:c r="C11" s="28"/>
      <x:c r="D11" s="34"/>
      <x:c r="E11" s="35"/>
      <x:c r="F11" s="35"/>
      <x:c r="G11" s="34"/>
      <x:c r="H11" s="34"/>
      <x:c r="I11" s="36" t="n">
        <x:f>IF(A11="",0,SUM(E11,G11,H11)+(F11*0.5))</x:f>
        <x:v>0</x:v>
      </x:c>
      <x:c r="J11" s="36" t="n">
        <x:f>IF(A11="",0,D11-I11)</x:f>
        <x:v>0</x:v>
      </x:c>
      <x:c r="K11" s="30" t="str">
        <x:f>IF(A11="","",IF(ABS(J11)&lt;0.01,"Balanced","Review"))</x:f>
      </x:c>
    </x:row>
    <x:row r="12" ht="22" customHeight="1">
      <x:c r="A12" s="28"/>
      <x:c r="B12" s="28"/>
      <x:c r="C12" s="28"/>
      <x:c r="D12" s="34"/>
      <x:c r="E12" s="35"/>
      <x:c r="F12" s="35"/>
      <x:c r="G12" s="34"/>
      <x:c r="H12" s="34"/>
      <x:c r="I12" s="36" t="n">
        <x:f>IF(A12="",0,SUM(E12,G12,H12)+(F12*0.5))</x:f>
        <x:v>0</x:v>
      </x:c>
      <x:c r="J12" s="36" t="n">
        <x:f>IF(A12="",0,D12-I12)</x:f>
        <x:v>0</x:v>
      </x:c>
      <x:c r="K12" s="30" t="str">
        <x:f>IF(A12="","",IF(ABS(J12)&lt;0.01,"Balanced","Review"))</x:f>
      </x:c>
    </x:row>
    <x:row r="13" ht="22" customHeight="1">
      <x:c r="A13" s="28"/>
      <x:c r="B13" s="28"/>
      <x:c r="C13" s="28"/>
      <x:c r="D13" s="34"/>
      <x:c r="E13" s="35"/>
      <x:c r="F13" s="35"/>
      <x:c r="G13" s="34"/>
      <x:c r="H13" s="34"/>
      <x:c r="I13" s="36" t="n">
        <x:f>IF(A13="",0,SUM(E13,G13,H13)+(F13*0.5))</x:f>
        <x:v>0</x:v>
      </x:c>
      <x:c r="J13" s="36" t="n">
        <x:f>IF(A13="",0,D13-I13)</x:f>
        <x:v>0</x:v>
      </x:c>
      <x:c r="K13" s="30" t="str">
        <x:f>IF(A13="","",IF(ABS(J13)&lt;0.01,"Balanced","Review"))</x:f>
      </x:c>
    </x:row>
    <x:row r="14" ht="22" customHeight="1">
      <x:c r="A14" s="28"/>
      <x:c r="B14" s="28"/>
      <x:c r="C14" s="28"/>
      <x:c r="D14" s="34"/>
      <x:c r="E14" s="35"/>
      <x:c r="F14" s="35"/>
      <x:c r="G14" s="34"/>
      <x:c r="H14" s="34"/>
      <x:c r="I14" s="36" t="n">
        <x:f>IF(A14="",0,SUM(E14,G14,H14)+(F14*0.5))</x:f>
        <x:v>0</x:v>
      </x:c>
      <x:c r="J14" s="36" t="n">
        <x:f>IF(A14="",0,D14-I14)</x:f>
        <x:v>0</x:v>
      </x:c>
      <x:c r="K14" s="30" t="str">
        <x:f>IF(A14="","",IF(ABS(J14)&lt;0.01,"Balanced","Review"))</x:f>
      </x:c>
    </x:row>
    <x:row r="15" ht="22" customHeight="1">
      <x:c r="A15" s="28"/>
      <x:c r="B15" s="28"/>
      <x:c r="C15" s="28"/>
      <x:c r="D15" s="34"/>
      <x:c r="E15" s="35"/>
      <x:c r="F15" s="35"/>
      <x:c r="G15" s="34"/>
      <x:c r="H15" s="34"/>
      <x:c r="I15" s="36" t="n">
        <x:f>IF(A15="",0,SUM(E15,G15,H15)+(F15*0.5))</x:f>
        <x:v>0</x:v>
      </x:c>
      <x:c r="J15" s="36" t="n">
        <x:f>IF(A15="",0,D15-I15)</x:f>
        <x:v>0</x:v>
      </x:c>
      <x:c r="K15" s="30" t="str">
        <x:f>IF(A15="","",IF(ABS(J15)&lt;0.01,"Balanced","Review"))</x:f>
      </x:c>
    </x:row>
    <x:row r="16" ht="22" customHeight="1">
      <x:c r="A16" s="28"/>
      <x:c r="B16" s="28"/>
      <x:c r="C16" s="28"/>
      <x:c r="D16" s="34"/>
      <x:c r="E16" s="35"/>
      <x:c r="F16" s="35"/>
      <x:c r="G16" s="34"/>
      <x:c r="H16" s="34"/>
      <x:c r="I16" s="36" t="n">
        <x:f>IF(A16="",0,SUM(E16,G16,H16)+(F16*0.5))</x:f>
        <x:v>0</x:v>
      </x:c>
      <x:c r="J16" s="36" t="n">
        <x:f>IF(A16="",0,D16-I16)</x:f>
        <x:v>0</x:v>
      </x:c>
      <x:c r="K16" s="30" t="str">
        <x:f>IF(A16="","",IF(ABS(J16)&lt;0.01,"Balanced","Review"))</x:f>
      </x:c>
    </x:row>
    <x:row r="17" ht="22" customHeight="1">
      <x:c r="A17" s="28"/>
      <x:c r="B17" s="28"/>
      <x:c r="C17" s="28"/>
      <x:c r="D17" s="34"/>
      <x:c r="E17" s="35"/>
      <x:c r="F17" s="35"/>
      <x:c r="G17" s="34"/>
      <x:c r="H17" s="34"/>
      <x:c r="I17" s="36" t="n">
        <x:f>IF(A17="",0,SUM(E17,G17,H17)+(F17*0.5))</x:f>
        <x:v>0</x:v>
      </x:c>
      <x:c r="J17" s="36" t="n">
        <x:f>IF(A17="",0,D17-I17)</x:f>
        <x:v>0</x:v>
      </x:c>
      <x:c r="K17" s="30" t="str">
        <x:f>IF(A17="","",IF(ABS(J17)&lt;0.01,"Balanced","Review"))</x:f>
      </x:c>
    </x:row>
    <x:row r="18" ht="22" customHeight="1">
      <x:c r="A18" s="28"/>
      <x:c r="B18" s="28"/>
      <x:c r="C18" s="28"/>
      <x:c r="D18" s="34"/>
      <x:c r="E18" s="35"/>
      <x:c r="F18" s="35"/>
      <x:c r="G18" s="34"/>
      <x:c r="H18" s="34"/>
      <x:c r="I18" s="36" t="n">
        <x:f>IF(A18="",0,SUM(E18,G18,H18)+(F18*0.5))</x:f>
        <x:v>0</x:v>
      </x:c>
      <x:c r="J18" s="36" t="n">
        <x:f>IF(A18="",0,D18-I18)</x:f>
        <x:v>0</x:v>
      </x:c>
      <x:c r="K18" s="30" t="str">
        <x:f>IF(A18="","",IF(ABS(J18)&lt;0.01,"Balanced","Review"))</x:f>
      </x:c>
    </x:row>
    <x:row r="19" ht="22" customHeight="1">
      <x:c r="A19" s="28"/>
      <x:c r="B19" s="28"/>
      <x:c r="C19" s="28"/>
      <x:c r="D19" s="34"/>
      <x:c r="E19" s="35"/>
      <x:c r="F19" s="35"/>
      <x:c r="G19" s="34"/>
      <x:c r="H19" s="34"/>
      <x:c r="I19" s="36" t="n">
        <x:f>IF(A19="",0,SUM(E19,G19,H19)+(F19*0.5))</x:f>
        <x:v>0</x:v>
      </x:c>
      <x:c r="J19" s="36" t="n">
        <x:f>IF(A19="",0,D19-I19)</x:f>
        <x:v>0</x:v>
      </x:c>
      <x:c r="K19" s="30" t="str">
        <x:f>IF(A19="","",IF(ABS(J19)&lt;0.01,"Balanced","Review"))</x:f>
      </x:c>
    </x:row>
    <x:row r="20" ht="22" customHeight="1">
      <x:c r="A20" s="28"/>
      <x:c r="B20" s="28"/>
      <x:c r="C20" s="28"/>
      <x:c r="D20" s="34"/>
      <x:c r="E20" s="35"/>
      <x:c r="F20" s="35"/>
      <x:c r="G20" s="34"/>
      <x:c r="H20" s="34"/>
      <x:c r="I20" s="36" t="n">
        <x:f>IF(A20="",0,SUM(E20,G20,H20)+(F20*0.5))</x:f>
        <x:v>0</x:v>
      </x:c>
      <x:c r="J20" s="36" t="n">
        <x:f>IF(A20="",0,D20-I20)</x:f>
        <x:v>0</x:v>
      </x:c>
      <x:c r="K20" s="30" t="str">
        <x:f>IF(A20="","",IF(ABS(J20)&lt;0.01,"Balanced","Review"))</x:f>
      </x:c>
    </x:row>
    <x:row r="21" ht="22" customHeight="1">
      <x:c r="A21" s="28"/>
      <x:c r="B21" s="28"/>
      <x:c r="C21" s="28"/>
      <x:c r="D21" s="34"/>
      <x:c r="E21" s="35"/>
      <x:c r="F21" s="35"/>
      <x:c r="G21" s="34"/>
      <x:c r="H21" s="34"/>
      <x:c r="I21" s="36" t="n">
        <x:f>IF(A21="",0,SUM(E21,G21,H21)+(F21*0.5))</x:f>
        <x:v>0</x:v>
      </x:c>
      <x:c r="J21" s="36" t="n">
        <x:f>IF(A21="",0,D21-I21)</x:f>
        <x:v>0</x:v>
      </x:c>
      <x:c r="K21" s="30" t="str">
        <x:f>IF(A21="","",IF(ABS(J21)&lt;0.01,"Balanced","Review"))</x:f>
      </x:c>
    </x:row>
    <x:row r="22" ht="22" customHeight="1">
      <x:c r="A22" s="28"/>
      <x:c r="B22" s="28"/>
      <x:c r="C22" s="28"/>
      <x:c r="D22" s="34"/>
      <x:c r="E22" s="35"/>
      <x:c r="F22" s="35"/>
      <x:c r="G22" s="34"/>
      <x:c r="H22" s="34"/>
      <x:c r="I22" s="36" t="n">
        <x:f>IF(A22="",0,SUM(E22,G22,H22)+(F22*0.5))</x:f>
        <x:v>0</x:v>
      </x:c>
      <x:c r="J22" s="36" t="n">
        <x:f>IF(A22="",0,D22-I22)</x:f>
        <x:v>0</x:v>
      </x:c>
      <x:c r="K22" s="30" t="str">
        <x:f>IF(A22="","",IF(ABS(J22)&lt;0.01,"Balanced","Review"))</x:f>
      </x:c>
    </x:row>
    <x:row r="23" ht="22" customHeight="1">
      <x:c r="A23" s="28"/>
      <x:c r="B23" s="28"/>
      <x:c r="C23" s="28"/>
      <x:c r="D23" s="34"/>
      <x:c r="E23" s="35"/>
      <x:c r="F23" s="35"/>
      <x:c r="G23" s="34"/>
      <x:c r="H23" s="34"/>
      <x:c r="I23" s="36" t="n">
        <x:f>IF(A23="",0,SUM(E23,G23,H23)+(F23*0.5))</x:f>
        <x:v>0</x:v>
      </x:c>
      <x:c r="J23" s="36" t="n">
        <x:f>IF(A23="",0,D23-I23)</x:f>
        <x:v>0</x:v>
      </x:c>
      <x:c r="K23" s="30" t="str">
        <x:f>IF(A23="","",IF(ABS(J23)&lt;0.01,"Balanced","Review"))</x:f>
      </x:c>
    </x:row>
    <x:row r="24" ht="22" customHeight="1">
      <x:c r="A24" s="28"/>
      <x:c r="B24" s="28"/>
      <x:c r="C24" s="28"/>
      <x:c r="D24" s="34"/>
      <x:c r="E24" s="35"/>
      <x:c r="F24" s="35"/>
      <x:c r="G24" s="34"/>
      <x:c r="H24" s="34"/>
      <x:c r="I24" s="36" t="n">
        <x:f>IF(A24="",0,SUM(E24,G24,H24)+(F24*0.5))</x:f>
        <x:v>0</x:v>
      </x:c>
      <x:c r="J24" s="36" t="n">
        <x:f>IF(A24="",0,D24-I24)</x:f>
        <x:v>0</x:v>
      </x:c>
      <x:c r="K24" s="30" t="str">
        <x:f>IF(A24="","",IF(ABS(J24)&lt;0.01,"Balanced","Review"))</x:f>
      </x:c>
    </x:row>
    <x:row r="25" ht="22" customHeight="1">
      <x:c r="A25" s="28"/>
      <x:c r="B25" s="28"/>
      <x:c r="C25" s="28"/>
      <x:c r="D25" s="34"/>
      <x:c r="E25" s="35"/>
      <x:c r="F25" s="35"/>
      <x:c r="G25" s="34"/>
      <x:c r="H25" s="34"/>
      <x:c r="I25" s="36" t="n">
        <x:f>IF(A25="",0,SUM(E25,G25,H25)+(F25*0.5))</x:f>
        <x:v>0</x:v>
      </x:c>
      <x:c r="J25" s="36" t="n">
        <x:f>IF(A25="",0,D25-I25)</x:f>
        <x:v>0</x:v>
      </x:c>
      <x:c r="K25" s="30" t="str">
        <x:f>IF(A25="","",IF(ABS(J25)&lt;0.01,"Balanced","Review"))</x:f>
      </x:c>
    </x:row>
    <x:row r="26" ht="22" customHeight="1">
      <x:c r="A26" s="28"/>
      <x:c r="B26" s="28"/>
      <x:c r="C26" s="28"/>
      <x:c r="D26" s="34"/>
      <x:c r="E26" s="35"/>
      <x:c r="F26" s="35"/>
      <x:c r="G26" s="34"/>
      <x:c r="H26" s="34"/>
      <x:c r="I26" s="36" t="n">
        <x:f>IF(A26="",0,SUM(E26,G26,H26)+(F26*0.5))</x:f>
        <x:v>0</x:v>
      </x:c>
      <x:c r="J26" s="36" t="n">
        <x:f>IF(A26="",0,D26-I26)</x:f>
        <x:v>0</x:v>
      </x:c>
      <x:c r="K26" s="30" t="str">
        <x:f>IF(A26="","",IF(ABS(J26)&lt;0.01,"Balanced","Review"))</x:f>
      </x:c>
    </x:row>
    <x:row r="27" ht="22" customHeight="1">
      <x:c r="A27" s="28"/>
      <x:c r="B27" s="28"/>
      <x:c r="C27" s="28"/>
      <x:c r="D27" s="34"/>
      <x:c r="E27" s="35"/>
      <x:c r="F27" s="35"/>
      <x:c r="G27" s="34"/>
      <x:c r="H27" s="34"/>
      <x:c r="I27" s="36" t="n">
        <x:f>IF(A27="",0,SUM(E27,G27,H27)+(F27*0.5))</x:f>
        <x:v>0</x:v>
      </x:c>
      <x:c r="J27" s="36" t="n">
        <x:f>IF(A27="",0,D27-I27)</x:f>
        <x:v>0</x:v>
      </x:c>
      <x:c r="K27" s="30" t="str">
        <x:f>IF(A27="","",IF(ABS(J27)&lt;0.01,"Balanced","Review"))</x:f>
      </x:c>
    </x:row>
    <x:row r="28" ht="22" customHeight="1">
      <x:c r="A28" s="28"/>
      <x:c r="B28" s="28"/>
      <x:c r="C28" s="28"/>
      <x:c r="D28" s="34"/>
      <x:c r="E28" s="35"/>
      <x:c r="F28" s="35"/>
      <x:c r="G28" s="34"/>
      <x:c r="H28" s="34"/>
      <x:c r="I28" s="36" t="n">
        <x:f>IF(A28="",0,SUM(E28,G28,H28)+(F28*0.5))</x:f>
        <x:v>0</x:v>
      </x:c>
      <x:c r="J28" s="36" t="n">
        <x:f>IF(A28="",0,D28-I28)</x:f>
        <x:v>0</x:v>
      </x:c>
      <x:c r="K28" s="30" t="str">
        <x:f>IF(A28="","",IF(ABS(J28)&lt;0.01,"Balanced","Review"))</x:f>
      </x:c>
    </x:row>
    <x:row r="29" ht="22" customHeight="1">
      <x:c r="A29" s="28"/>
      <x:c r="B29" s="28"/>
      <x:c r="C29" s="28"/>
      <x:c r="D29" s="34"/>
      <x:c r="E29" s="35"/>
      <x:c r="F29" s="35"/>
      <x:c r="G29" s="34"/>
      <x:c r="H29" s="34"/>
      <x:c r="I29" s="36" t="n">
        <x:f>IF(A29="",0,SUM(E29,G29,H29)+(F29*0.5))</x:f>
        <x:v>0</x:v>
      </x:c>
      <x:c r="J29" s="36" t="n">
        <x:f>IF(A29="",0,D29-I29)</x:f>
        <x:v>0</x:v>
      </x:c>
      <x:c r="K29" s="30" t="str">
        <x:f>IF(A29="","",IF(ABS(J29)&lt;0.01,"Balanced","Review"))</x:f>
      </x:c>
    </x:row>
    <x:row r="30" ht="22" customHeight="1">
      <x:c r="A30" s="28"/>
      <x:c r="B30" s="28"/>
      <x:c r="C30" s="28"/>
      <x:c r="D30" s="34"/>
      <x:c r="E30" s="35"/>
      <x:c r="F30" s="35"/>
      <x:c r="G30" s="34"/>
      <x:c r="H30" s="34"/>
      <x:c r="I30" s="36" t="n">
        <x:f>IF(A30="",0,SUM(E30,G30,H30)+(F30*0.5))</x:f>
        <x:v>0</x:v>
      </x:c>
      <x:c r="J30" s="36" t="n">
        <x:f>IF(A30="",0,D30-I30)</x:f>
        <x:v>0</x:v>
      </x:c>
      <x:c r="K30" s="30" t="str">
        <x:f>IF(A30="","",IF(ABS(J30)&lt;0.01,"Balanced","Review"))</x:f>
      </x:c>
    </x:row>
    <x:row r="31" ht="22" customHeight="1">
      <x:c r="A31" s="28"/>
      <x:c r="B31" s="28"/>
      <x:c r="C31" s="28"/>
      <x:c r="D31" s="34"/>
      <x:c r="E31" s="35"/>
      <x:c r="F31" s="35"/>
      <x:c r="G31" s="34"/>
      <x:c r="H31" s="34"/>
      <x:c r="I31" s="36" t="n">
        <x:f>IF(A31="",0,SUM(E31,G31,H31)+(F31*0.5))</x:f>
        <x:v>0</x:v>
      </x:c>
      <x:c r="J31" s="36" t="n">
        <x:f>IF(A31="",0,D31-I31)</x:f>
        <x:v>0</x:v>
      </x:c>
      <x:c r="K31" s="30" t="str">
        <x:f>IF(A31="","",IF(ABS(J31)&lt;0.01,"Balanced","Review"))</x:f>
      </x:c>
    </x:row>
    <x:row r="32" ht="22" customHeight="1">
      <x:c r="A32" s="28"/>
      <x:c r="B32" s="28"/>
      <x:c r="C32" s="28"/>
      <x:c r="D32" s="34"/>
      <x:c r="E32" s="35"/>
      <x:c r="F32" s="35"/>
      <x:c r="G32" s="34"/>
      <x:c r="H32" s="34"/>
      <x:c r="I32" s="36" t="n">
        <x:f>IF(A32="",0,SUM(E32,G32,H32)+(F32*0.5))</x:f>
        <x:v>0</x:v>
      </x:c>
      <x:c r="J32" s="36" t="n">
        <x:f>IF(A32="",0,D32-I32)</x:f>
        <x:v>0</x:v>
      </x:c>
      <x:c r="K32" s="30" t="str">
        <x:f>IF(A32="","",IF(ABS(J32)&lt;0.01,"Balanced","Review"))</x:f>
      </x:c>
    </x:row>
    <x:row r="33" ht="22" customHeight="1">
      <x:c r="A33" s="28"/>
      <x:c r="B33" s="28"/>
      <x:c r="C33" s="28"/>
      <x:c r="D33" s="34"/>
      <x:c r="E33" s="35"/>
      <x:c r="F33" s="35"/>
      <x:c r="G33" s="34"/>
      <x:c r="H33" s="34"/>
      <x:c r="I33" s="36" t="n">
        <x:f>IF(A33="",0,SUM(E33,G33,H33)+(F33*0.5))</x:f>
        <x:v>0</x:v>
      </x:c>
      <x:c r="J33" s="36" t="n">
        <x:f>IF(A33="",0,D33-I33)</x:f>
        <x:v>0</x:v>
      </x:c>
      <x:c r="K33" s="30" t="str">
        <x:f>IF(A33="","",IF(ABS(J33)&lt;0.01,"Balanced","Review"))</x:f>
      </x:c>
    </x:row>
    <x:row r="34" ht="22" customHeight="1">
      <x:c r="A34" s="28"/>
      <x:c r="B34" s="28"/>
      <x:c r="C34" s="28"/>
      <x:c r="D34" s="34"/>
      <x:c r="E34" s="35"/>
      <x:c r="F34" s="35"/>
      <x:c r="G34" s="34"/>
      <x:c r="H34" s="34"/>
      <x:c r="I34" s="36" t="n">
        <x:f>IF(A34="",0,SUM(E34,G34,H34)+(F34*0.5))</x:f>
        <x:v>0</x:v>
      </x:c>
      <x:c r="J34" s="36" t="n">
        <x:f>IF(A34="",0,D34-I34)</x:f>
        <x:v>0</x:v>
      </x:c>
      <x:c r="K34" s="30" t="str">
        <x:f>IF(A34="","",IF(ABS(J34)&lt;0.01,"Balanced","Review"))</x:f>
      </x:c>
    </x:row>
    <x:row r="35" ht="22" customHeight="1">
      <x:c r="A35" s="28"/>
      <x:c r="B35" s="28"/>
      <x:c r="C35" s="28"/>
      <x:c r="D35" s="34"/>
      <x:c r="E35" s="35"/>
      <x:c r="F35" s="35"/>
      <x:c r="G35" s="34"/>
      <x:c r="H35" s="34"/>
      <x:c r="I35" s="36" t="n">
        <x:f>IF(A35="",0,SUM(E35,G35,H35)+(F35*0.5))</x:f>
        <x:v>0</x:v>
      </x:c>
      <x:c r="J35" s="36" t="n">
        <x:f>IF(A35="",0,D35-I35)</x:f>
        <x:v>0</x:v>
      </x:c>
      <x:c r="K35" s="30" t="str">
        <x:f>IF(A35="","",IF(ABS(J35)&lt;0.01,"Balanced","Review"))</x:f>
      </x:c>
    </x:row>
    <x:row r="36" ht="22" customHeight="1">
      <x:c r="A36" s="28"/>
      <x:c r="B36" s="28"/>
      <x:c r="C36" s="28"/>
      <x:c r="D36" s="34"/>
      <x:c r="E36" s="35"/>
      <x:c r="F36" s="35"/>
      <x:c r="G36" s="34"/>
      <x:c r="H36" s="34"/>
      <x:c r="I36" s="36" t="n">
        <x:f>IF(A36="",0,SUM(E36,G36,H36)+(F36*0.5))</x:f>
        <x:v>0</x:v>
      </x:c>
      <x:c r="J36" s="36" t="n">
        <x:f>IF(A36="",0,D36-I36)</x:f>
        <x:v>0</x:v>
      </x:c>
      <x:c r="K36" s="30" t="str">
        <x:f>IF(A36="","",IF(ABS(J36)&lt;0.01,"Balanced","Review"))</x:f>
      </x:c>
    </x:row>
    <x:row r="37" ht="22" customHeight="1">
      <x:c r="A37" s="28"/>
      <x:c r="B37" s="28"/>
      <x:c r="C37" s="28"/>
      <x:c r="D37" s="34"/>
      <x:c r="E37" s="35"/>
      <x:c r="F37" s="35"/>
      <x:c r="G37" s="34"/>
      <x:c r="H37" s="34"/>
      <x:c r="I37" s="36" t="n">
        <x:f>IF(A37="",0,SUM(E37,G37,H37)+(F37*0.5))</x:f>
        <x:v>0</x:v>
      </x:c>
      <x:c r="J37" s="36" t="n">
        <x:f>IF(A37="",0,D37-I37)</x:f>
        <x:v>0</x:v>
      </x:c>
      <x:c r="K37" s="30" t="str">
        <x:f>IF(A37="","",IF(ABS(J37)&lt;0.01,"Balanced","Review"))</x:f>
      </x:c>
    </x:row>
    <x:row r="38" ht="22" customHeight="1">
      <x:c r="A38" s="28"/>
      <x:c r="B38" s="28"/>
      <x:c r="C38" s="28"/>
      <x:c r="D38" s="34"/>
      <x:c r="E38" s="35"/>
      <x:c r="F38" s="35"/>
      <x:c r="G38" s="34"/>
      <x:c r="H38" s="34"/>
      <x:c r="I38" s="36" t="n">
        <x:f>IF(A38="",0,SUM(E38,G38,H38)+(F38*0.5))</x:f>
        <x:v>0</x:v>
      </x:c>
      <x:c r="J38" s="36" t="n">
        <x:f>IF(A38="",0,D38-I38)</x:f>
        <x:v>0</x:v>
      </x:c>
      <x:c r="K38" s="30" t="str">
        <x:f>IF(A38="","",IF(ABS(J38)&lt;0.01,"Balanced","Review"))</x:f>
      </x:c>
    </x:row>
    <x:row r="39" ht="22" customHeight="1">
      <x:c r="A39" s="28"/>
      <x:c r="B39" s="28"/>
      <x:c r="C39" s="28"/>
      <x:c r="D39" s="34"/>
      <x:c r="E39" s="35"/>
      <x:c r="F39" s="35"/>
      <x:c r="G39" s="34"/>
      <x:c r="H39" s="34"/>
      <x:c r="I39" s="36" t="n">
        <x:f>IF(A39="",0,SUM(E39,G39,H39)+(F39*0.5))</x:f>
        <x:v>0</x:v>
      </x:c>
      <x:c r="J39" s="36" t="n">
        <x:f>IF(A39="",0,D39-I39)</x:f>
        <x:v>0</x:v>
      </x:c>
      <x:c r="K39" s="30" t="str">
        <x:f>IF(A39="","",IF(ABS(J39)&lt;0.01,"Balanced","Review"))</x:f>
      </x:c>
    </x:row>
    <x:row r="40" ht="22" customHeight="1">
      <x:c r="A40" s="28"/>
      <x:c r="B40" s="28"/>
      <x:c r="C40" s="28"/>
      <x:c r="D40" s="34"/>
      <x:c r="E40" s="35"/>
      <x:c r="F40" s="35"/>
      <x:c r="G40" s="34"/>
      <x:c r="H40" s="34"/>
      <x:c r="I40" s="36" t="n">
        <x:f>IF(A40="",0,SUM(E40,G40,H40)+(F40*0.5))</x:f>
        <x:v>0</x:v>
      </x:c>
      <x:c r="J40" s="36" t="n">
        <x:f>IF(A40="",0,D40-I40)</x:f>
        <x:v>0</x:v>
      </x:c>
      <x:c r="K40" s="30" t="str">
        <x:f>IF(A40="","",IF(ABS(J40)&lt;0.01,"Balanced","Review"))</x:f>
      </x:c>
    </x:row>
    <x:row r="41" ht="22" customHeight="1">
      <x:c r="A41" s="28"/>
      <x:c r="B41" s="28"/>
      <x:c r="C41" s="28"/>
      <x:c r="D41" s="34"/>
      <x:c r="E41" s="35"/>
      <x:c r="F41" s="35"/>
      <x:c r="G41" s="34"/>
      <x:c r="H41" s="34"/>
      <x:c r="I41" s="36" t="n">
        <x:f>IF(A41="",0,SUM(E41,G41,H41)+(F41*0.5))</x:f>
        <x:v>0</x:v>
      </x:c>
      <x:c r="J41" s="36" t="n">
        <x:f>IF(A41="",0,D41-I41)</x:f>
        <x:v>0</x:v>
      </x:c>
      <x:c r="K41" s="30" t="str">
        <x:f>IF(A41="","",IF(ABS(J41)&lt;0.01,"Balanced","Review"))</x:f>
      </x:c>
    </x:row>
    <x:row r="42" ht="22" customHeight="1">
      <x:c r="A42" s="28"/>
      <x:c r="B42" s="28"/>
      <x:c r="C42" s="28"/>
      <x:c r="D42" s="34"/>
      <x:c r="E42" s="35"/>
      <x:c r="F42" s="35"/>
      <x:c r="G42" s="34"/>
      <x:c r="H42" s="34"/>
      <x:c r="I42" s="36" t="n">
        <x:f>IF(A42="",0,SUM(E42,G42,H42)+(F42*0.5))</x:f>
        <x:v>0</x:v>
      </x:c>
      <x:c r="J42" s="36" t="n">
        <x:f>IF(A42="",0,D42-I42)</x:f>
        <x:v>0</x:v>
      </x:c>
      <x:c r="K42" s="30" t="str">
        <x:f>IF(A42="","",IF(ABS(J42)&lt;0.01,"Balanced","Review"))</x:f>
      </x:c>
    </x:row>
    <x:row r="43" ht="22" customHeight="1">
      <x:c r="A43" s="28"/>
      <x:c r="B43" s="28"/>
      <x:c r="C43" s="28"/>
      <x:c r="D43" s="34"/>
      <x:c r="E43" s="35"/>
      <x:c r="F43" s="35"/>
      <x:c r="G43" s="34"/>
      <x:c r="H43" s="34"/>
      <x:c r="I43" s="36" t="n">
        <x:f>IF(A43="",0,SUM(E43,G43,H43)+(F43*0.5))</x:f>
        <x:v>0</x:v>
      </x:c>
      <x:c r="J43" s="36" t="n">
        <x:f>IF(A43="",0,D43-I43)</x:f>
        <x:v>0</x:v>
      </x:c>
      <x:c r="K43" s="30" t="str">
        <x:f>IF(A43="","",IF(ABS(J43)&lt;0.01,"Balanced","Review"))</x:f>
      </x:c>
    </x:row>
    <x:row r="44" ht="22" customHeight="1">
      <x:c r="A44" s="28"/>
      <x:c r="B44" s="28"/>
      <x:c r="C44" s="28"/>
      <x:c r="D44" s="34"/>
      <x:c r="E44" s="35"/>
      <x:c r="F44" s="35"/>
      <x:c r="G44" s="34"/>
      <x:c r="H44" s="34"/>
      <x:c r="I44" s="36" t="n">
        <x:f>IF(A44="",0,SUM(E44,G44,H44)+(F44*0.5))</x:f>
        <x:v>0</x:v>
      </x:c>
      <x:c r="J44" s="36" t="n">
        <x:f>IF(A44="",0,D44-I44)</x:f>
        <x:v>0</x:v>
      </x:c>
      <x:c r="K44" s="30" t="str">
        <x:f>IF(A44="","",IF(ABS(J44)&lt;0.01,"Balanced","Review"))</x:f>
      </x:c>
    </x:row>
    <x:row r="45" ht="22" customHeight="1">
      <x:c r="A45" s="28"/>
      <x:c r="B45" s="28"/>
      <x:c r="C45" s="28"/>
      <x:c r="D45" s="34"/>
      <x:c r="E45" s="35"/>
      <x:c r="F45" s="35"/>
      <x:c r="G45" s="34"/>
      <x:c r="H45" s="34"/>
      <x:c r="I45" s="36" t="n">
        <x:f>IF(A45="",0,SUM(E45,G45,H45)+(F45*0.5))</x:f>
        <x:v>0</x:v>
      </x:c>
      <x:c r="J45" s="36" t="n">
        <x:f>IF(A45="",0,D45-I45)</x:f>
        <x:v>0</x:v>
      </x:c>
      <x:c r="K45" s="30" t="str">
        <x:f>IF(A45="","",IF(ABS(J45)&lt;0.01,"Balanced","Review"))</x:f>
      </x:c>
    </x:row>
    <x:row r="46" ht="22" customHeight="1">
      <x:c r="A46" s="28"/>
      <x:c r="B46" s="28"/>
      <x:c r="C46" s="28"/>
      <x:c r="D46" s="34"/>
      <x:c r="E46" s="35"/>
      <x:c r="F46" s="35"/>
      <x:c r="G46" s="34"/>
      <x:c r="H46" s="34"/>
      <x:c r="I46" s="36" t="n">
        <x:f>IF(A46="",0,SUM(E46,G46,H46)+(F46*0.5))</x:f>
        <x:v>0</x:v>
      </x:c>
      <x:c r="J46" s="36" t="n">
        <x:f>IF(A46="",0,D46-I46)</x:f>
        <x:v>0</x:v>
      </x:c>
      <x:c r="K46" s="30" t="str">
        <x:f>IF(A46="","",IF(ABS(J46)&lt;0.01,"Balanced","Review"))</x:f>
      </x:c>
    </x:row>
    <x:row r="47" ht="22" customHeight="1">
      <x:c r="A47" s="28"/>
      <x:c r="B47" s="28"/>
      <x:c r="C47" s="28"/>
      <x:c r="D47" s="34"/>
      <x:c r="E47" s="35"/>
      <x:c r="F47" s="35"/>
      <x:c r="G47" s="34"/>
      <x:c r="H47" s="34"/>
      <x:c r="I47" s="36" t="n">
        <x:f>IF(A47="",0,SUM(E47,G47,H47)+(F47*0.5))</x:f>
        <x:v>0</x:v>
      </x:c>
      <x:c r="J47" s="36" t="n">
        <x:f>IF(A47="",0,D47-I47)</x:f>
        <x:v>0</x:v>
      </x:c>
      <x:c r="K47" s="30" t="str">
        <x:f>IF(A47="","",IF(ABS(J47)&lt;0.01,"Balanced","Review"))</x:f>
      </x:c>
    </x:row>
    <x:row r="48" ht="22" customHeight="1">
      <x:c r="A48" s="28"/>
      <x:c r="B48" s="28"/>
      <x:c r="C48" s="28"/>
      <x:c r="D48" s="34"/>
      <x:c r="E48" s="35"/>
      <x:c r="F48" s="35"/>
      <x:c r="G48" s="34"/>
      <x:c r="H48" s="34"/>
      <x:c r="I48" s="36" t="n">
        <x:f>IF(A48="",0,SUM(E48,G48,H48)+(F48*0.5))</x:f>
        <x:v>0</x:v>
      </x:c>
      <x:c r="J48" s="36" t="n">
        <x:f>IF(A48="",0,D48-I48)</x:f>
        <x:v>0</x:v>
      </x:c>
      <x:c r="K48" s="30" t="str">
        <x:f>IF(A48="","",IF(ABS(J48)&lt;0.01,"Balanced","Review"))</x:f>
      </x:c>
    </x:row>
    <x:row r="49" ht="22" customHeight="1">
      <x:c r="A49" s="28"/>
      <x:c r="B49" s="28"/>
      <x:c r="C49" s="28"/>
      <x:c r="D49" s="34"/>
      <x:c r="E49" s="35"/>
      <x:c r="F49" s="35"/>
      <x:c r="G49" s="34"/>
      <x:c r="H49" s="34"/>
      <x:c r="I49" s="36" t="n">
        <x:f>IF(A49="",0,SUM(E49,G49,H49)+(F49*0.5))</x:f>
        <x:v>0</x:v>
      </x:c>
      <x:c r="J49" s="36" t="n">
        <x:f>IF(A49="",0,D49-I49)</x:f>
        <x:v>0</x:v>
      </x:c>
      <x:c r="K49" s="30" t="str">
        <x:f>IF(A49="","",IF(ABS(J49)&lt;0.01,"Balanced","Review"))</x:f>
      </x:c>
    </x:row>
    <x:row r="50" ht="22" customHeight="1">
      <x:c r="A50" s="28"/>
      <x:c r="B50" s="28"/>
      <x:c r="C50" s="28"/>
      <x:c r="D50" s="34"/>
      <x:c r="E50" s="35"/>
      <x:c r="F50" s="35"/>
      <x:c r="G50" s="34"/>
      <x:c r="H50" s="34"/>
      <x:c r="I50" s="36" t="n">
        <x:f>IF(A50="",0,SUM(E50,G50,H50)+(F50*0.5))</x:f>
        <x:v>0</x:v>
      </x:c>
      <x:c r="J50" s="36" t="n">
        <x:f>IF(A50="",0,D50-I50)</x:f>
        <x:v>0</x:v>
      </x:c>
      <x:c r="K50" s="30" t="str">
        <x:f>IF(A50="","",IF(ABS(J50)&lt;0.01,"Balanced","Review"))</x:f>
      </x:c>
    </x:row>
    <x:row r="51" ht="22" customHeight="1">
      <x:c r="A51" s="28"/>
      <x:c r="B51" s="28"/>
      <x:c r="C51" s="28"/>
      <x:c r="D51" s="34"/>
      <x:c r="E51" s="35"/>
      <x:c r="F51" s="35"/>
      <x:c r="G51" s="34"/>
      <x:c r="H51" s="34"/>
      <x:c r="I51" s="36" t="n">
        <x:f>IF(A51="",0,SUM(E51,G51,H51)+(F51*0.5))</x:f>
        <x:v>0</x:v>
      </x:c>
      <x:c r="J51" s="36" t="n">
        <x:f>IF(A51="",0,D51-I51)</x:f>
        <x:v>0</x:v>
      </x:c>
      <x:c r="K51" s="30" t="str">
        <x:f>IF(A51="","",IF(ABS(J51)&lt;0.01,"Balanced","Review"))</x:f>
      </x:c>
    </x:row>
    <x:row r="52" ht="22" customHeight="1">
      <x:c r="A52" s="28"/>
      <x:c r="B52" s="28"/>
      <x:c r="C52" s="28"/>
      <x:c r="D52" s="34"/>
      <x:c r="E52" s="35"/>
      <x:c r="F52" s="35"/>
      <x:c r="G52" s="34"/>
      <x:c r="H52" s="34"/>
      <x:c r="I52" s="36" t="n">
        <x:f>IF(A52="",0,SUM(E52,G52,H52)+(F52*0.5))</x:f>
        <x:v>0</x:v>
      </x:c>
      <x:c r="J52" s="36" t="n">
        <x:f>IF(A52="",0,D52-I52)</x:f>
        <x:v>0</x:v>
      </x:c>
      <x:c r="K52" s="30" t="str">
        <x:f>IF(A52="","",IF(ABS(J52)&lt;0.01,"Balanced","Review"))</x:f>
      </x:c>
    </x:row>
    <x:row r="53" ht="22" customHeight="1">
      <x:c r="A53" s="28"/>
      <x:c r="B53" s="28"/>
      <x:c r="C53" s="28"/>
      <x:c r="D53" s="34"/>
      <x:c r="E53" s="35"/>
      <x:c r="F53" s="35"/>
      <x:c r="G53" s="34"/>
      <x:c r="H53" s="34"/>
      <x:c r="I53" s="36" t="n">
        <x:f>IF(A53="",0,SUM(E53,G53,H53)+(F53*0.5))</x:f>
        <x:v>0</x:v>
      </x:c>
      <x:c r="J53" s="36" t="n">
        <x:f>IF(A53="",0,D53-I53)</x:f>
        <x:v>0</x:v>
      </x:c>
      <x:c r="K53" s="30" t="str">
        <x:f>IF(A53="","",IF(ABS(J53)&lt;0.01,"Balanced","Review"))</x:f>
      </x:c>
    </x:row>
    <x:row r="54" ht="22" customHeight="1">
      <x:c r="A54" s="28"/>
      <x:c r="B54" s="28"/>
      <x:c r="C54" s="28"/>
      <x:c r="D54" s="34"/>
      <x:c r="E54" s="35"/>
      <x:c r="F54" s="35"/>
      <x:c r="G54" s="34"/>
      <x:c r="H54" s="34"/>
      <x:c r="I54" s="36" t="n">
        <x:f>IF(A54="",0,SUM(E54,G54,H54)+(F54*0.5))</x:f>
        <x:v>0</x:v>
      </x:c>
      <x:c r="J54" s="36" t="n">
        <x:f>IF(A54="",0,D54-I54)</x:f>
        <x:v>0</x:v>
      </x:c>
      <x:c r="K54" s="30" t="str">
        <x:f>IF(A54="","",IF(ABS(J54)&lt;0.01,"Balanced","Review"))</x:f>
      </x:c>
    </x:row>
    <x:row r="55" ht="22" customHeight="1">
      <x:c r="A55" s="28"/>
      <x:c r="B55" s="28"/>
      <x:c r="C55" s="28"/>
      <x:c r="D55" s="34"/>
      <x:c r="E55" s="35"/>
      <x:c r="F55" s="35"/>
      <x:c r="G55" s="34"/>
      <x:c r="H55" s="34"/>
      <x:c r="I55" s="36" t="n">
        <x:f>IF(A55="",0,SUM(E55,G55,H55)+(F55*0.5))</x:f>
        <x:v>0</x:v>
      </x:c>
      <x:c r="J55" s="36" t="n">
        <x:f>IF(A55="",0,D55-I55)</x:f>
        <x:v>0</x:v>
      </x:c>
      <x:c r="K55" s="30" t="str">
        <x:f>IF(A55="","",IF(ABS(J55)&lt;0.01,"Balanced","Review"))</x:f>
      </x:c>
    </x:row>
    <x:row r="56" ht="22" customHeight="1">
      <x:c r="A56" s="31"/>
      <x:c r="B56" s="31"/>
      <x:c r="C56" s="31"/>
      <x:c r="D56" s="37"/>
      <x:c r="E56" s="38"/>
      <x:c r="F56" s="38"/>
      <x:c r="G56" s="37"/>
      <x:c r="H56" s="37"/>
      <x:c r="I56" s="39" t="n">
        <x:f>IF(A56="",0,SUM(E56,G56,H56)+(F56*0.5))</x:f>
        <x:v>0</x:v>
      </x:c>
      <x:c r="J56" s="39" t="n">
        <x:f>IF(A56="",0,D56-I56)</x:f>
        <x:v>0</x:v>
      </x:c>
      <x:c r="K56" s="33" t="str">
        <x:f>IF(A56="","",IF(ABS(J56)&lt;0.01,"Balanced","Review"))</x:f>
      </x:c>
    </x:row>
  </x:sheetData>
  <x:mergeCells>
    <x:mergeCell ref="A1:K1"/>
    <x:mergeCell ref="A2:K2"/>
  </x:mergeCells>
  <x:conditionalFormatting sqref="K7:K56">
    <x:cfRule type="cellIs" dxfId="0" priority="1">
      <x:formula>"Review"</x:formula>
    </x:cfRule>
    <x:cfRule type="cellIs" dxfId="1" priority="2">
      <x:formula>"Balanced"</x:formula>
    </x:cfRule>
  </x:conditionalFormatting>
  <x:dataValidations count="1">
    <x:dataValidation type="decimal" operator="between" sqref="D7:H56">
      <x:formula1>0</x:formula1>
      <x:formula2>31</x:formula2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34" customHeight="1">
      <x:c r="A1" s="3" t="str">
        <x:v>How to use the monthly attendance working paper</x:v>
      </x:c>
      <x:c r="B1" s="3"/>
      <x:c r="C1" s="3"/>
      <x:c r="D1" s="3"/>
      <x:c r="E1" s="3"/>
      <x:c r="F1" s="3"/>
      <x:c r="G1" s="3"/>
      <x:c r="H1" s="3"/>
    </x:row>
    <x:row r="3" ht="22" customHeight="1">
      <x:c r="A3" s="45" t="str">
        <x:v>1 · For Kula HR import</x:v>
      </x:c>
      <x:c r="B3" s="45"/>
      <x:c r="C3" s="45"/>
      <x:c r="D3" s="45"/>
      <x:c r="E3" s="45"/>
      <x:c r="F3" s="45"/>
      <x:c r="G3" s="45"/>
      <x:c r="H3" s="45"/>
    </x:row>
    <x:row r="4" ht="22" customHeight="1">
      <x:c r="A4" s="42" t="str">
        <x:v>In Kula HR, generate the monthly attendance summary and download its CSV first. Open that CSV, update only days_present and half_days, then upload it back while the month is unlocked. This public XLSX is a working copy; export only columns A:H as CSV if adapting it for import.</x:v>
      </x:c>
      <x:c r="B4" s="42"/>
      <x:c r="C4" s="42"/>
      <x:c r="D4" s="42"/>
      <x:c r="E4" s="42"/>
      <x:c r="F4" s="42"/>
      <x:c r="G4" s="42"/>
      <x:c r="H4" s="42"/>
    </x:row>
    <x:row r="5" ht="22" customHeight="1">
      <x:c r="A5" s="42"/>
      <x:c r="B5" s="42"/>
      <x:c r="C5" s="42"/>
      <x:c r="D5" s="42"/>
      <x:c r="E5" s="42"/>
      <x:c r="F5" s="42"/>
      <x:c r="G5" s="42"/>
      <x:c r="H5" s="42"/>
    </x:row>
    <x:row r="6" ht="22" customHeight="1">
      <x:c r="A6" s="42"/>
      <x:c r="B6" s="42"/>
      <x:c r="C6" s="42"/>
      <x:c r="D6" s="42"/>
      <x:c r="E6" s="42"/>
      <x:c r="F6" s="42"/>
      <x:c r="G6" s="42"/>
      <x:c r="H6" s="42"/>
    </x:row>
    <x:row r="7" ht="22" customHeight="1">
      <x:c r="A7" s="45" t="str">
        <x:v>2 · Column contract</x:v>
      </x:c>
      <x:c r="B7" s="45"/>
      <x:c r="C7" s="45"/>
      <x:c r="D7" s="45"/>
      <x:c r="E7" s="45"/>
      <x:c r="F7" s="45"/>
      <x:c r="G7" s="45"/>
      <x:c r="H7" s="45"/>
    </x:row>
    <x:row r="8" ht="22" customHeight="1">
      <x:c r="A8" s="42" t="str">
        <x:v>The first eight column names exactly match Kula HR's attendance import/export. employee_code, days_present and half_days are required by the importer. Employee code must already exist and a summary must already be generated for the selected month.</x:v>
      </x:c>
      <x:c r="B8" s="42"/>
      <x:c r="C8" s="42"/>
      <x:c r="D8" s="42"/>
      <x:c r="E8" s="42"/>
      <x:c r="F8" s="42"/>
      <x:c r="G8" s="42"/>
      <x:c r="H8" s="42"/>
    </x:row>
    <x:row r="9" ht="22" customHeight="1">
      <x:c r="A9" s="42"/>
      <x:c r="B9" s="42"/>
      <x:c r="C9" s="42"/>
      <x:c r="D9" s="42"/>
      <x:c r="E9" s="42"/>
      <x:c r="F9" s="42"/>
      <x:c r="G9" s="42"/>
      <x:c r="H9" s="42"/>
    </x:row>
    <x:row r="10" ht="22" customHeight="1">
      <x:c r="A10" s="42"/>
      <x:c r="B10" s="42"/>
      <x:c r="C10" s="42"/>
      <x:c r="D10" s="42"/>
      <x:c r="E10" s="42"/>
      <x:c r="F10" s="42"/>
      <x:c r="G10" s="42"/>
      <x:c r="H10" s="42"/>
    </x:row>
    <x:row r="11" ht="22" customHeight="1">
      <x:c r="A11" s="45" t="str">
        <x:v>3 · Reconciliation</x:v>
      </x:c>
      <x:c r="B11" s="45"/>
      <x:c r="C11" s="45"/>
      <x:c r="D11" s="45"/>
      <x:c r="E11" s="45"/>
      <x:c r="F11" s="45"/>
      <x:c r="G11" s="45"/>
      <x:c r="H11" s="45"/>
    </x:row>
    <x:row r="12" ht="22" customHeight="1">
      <x:c r="A12" s="42" t="str">
        <x:v>accounted_days adds days_present, half-day equivalents, approved_leaves and lop_leaves. difference compares that value with total_working_days. Review does not always mean error—company policy may treat categories differently—but it requires an explanation before payroll lock.</x:v>
      </x:c>
      <x:c r="B12" s="42"/>
      <x:c r="C12" s="42"/>
      <x:c r="D12" s="42"/>
      <x:c r="E12" s="42"/>
      <x:c r="F12" s="42"/>
      <x:c r="G12" s="42"/>
      <x:c r="H12" s="42"/>
    </x:row>
    <x:row r="13" ht="22" customHeight="1">
      <x:c r="A13" s="42"/>
      <x:c r="B13" s="42"/>
      <x:c r="C13" s="42"/>
      <x:c r="D13" s="42"/>
      <x:c r="E13" s="42"/>
      <x:c r="F13" s="42"/>
      <x:c r="G13" s="42"/>
      <x:c r="H13" s="42"/>
    </x:row>
    <x:row r="14" ht="22" customHeight="1">
      <x:c r="A14" s="42"/>
      <x:c r="B14" s="42"/>
      <x:c r="C14" s="42"/>
      <x:c r="D14" s="42"/>
      <x:c r="E14" s="42"/>
      <x:c r="F14" s="42"/>
      <x:c r="G14" s="42"/>
      <x:c r="H14" s="42"/>
    </x:row>
    <x:row r="15" ht="22" customHeight="1">
      <x:c r="A15" s="45" t="str">
        <x:v>4 · Lock discipline</x:v>
      </x:c>
      <x:c r="B15" s="45"/>
      <x:c r="C15" s="45"/>
      <x:c r="D15" s="45"/>
      <x:c r="E15" s="45"/>
      <x:c r="F15" s="45"/>
      <x:c r="G15" s="45"/>
      <x:c r="H15" s="45"/>
    </x:row>
    <x:row r="16" ht="22" customHeight="1">
      <x:c r="A16" s="42" t="str">
        <x:v>Resolve exceptions, upload the final CSV, review employee summaries and then lock the attendance month. Payroll should use the locked paid-day and LOP result. Document any later unlock and reprocessing decision.</x:v>
      </x:c>
      <x:c r="B16" s="42"/>
      <x:c r="C16" s="42"/>
      <x:c r="D16" s="42"/>
      <x:c r="E16" s="42"/>
      <x:c r="F16" s="42"/>
      <x:c r="G16" s="42"/>
      <x:c r="H16" s="42"/>
    </x:row>
    <x:row r="17" ht="22" customHeight="1">
      <x:c r="A17" s="42"/>
      <x:c r="B17" s="42"/>
      <x:c r="C17" s="42"/>
      <x:c r="D17" s="42"/>
      <x:c r="E17" s="42"/>
      <x:c r="F17" s="42"/>
      <x:c r="G17" s="42"/>
      <x:c r="H17" s="42"/>
    </x:row>
    <x:row r="18" ht="22" customHeight="1">
      <x:c r="A18" s="42"/>
      <x:c r="B18" s="42"/>
      <x:c r="C18" s="42"/>
      <x:c r="D18" s="42"/>
      <x:c r="E18" s="42"/>
      <x:c r="F18" s="42"/>
      <x:c r="G18" s="42"/>
      <x:c r="H18" s="42"/>
    </x:row>
    <x:row r="19" ht="22" customHeight="1">
      <x:c r="A19" s="45" t="str">
        <x:v>Important limitation</x:v>
      </x:c>
      <x:c r="B19" s="45"/>
      <x:c r="C19" s="45"/>
      <x:c r="D19" s="45"/>
      <x:c r="E19" s="45"/>
      <x:c r="F19" s="45"/>
      <x:c r="G19" s="45"/>
      <x:c r="H19" s="45"/>
    </x:row>
    <x:row r="20" ht="22" customHeight="1">
      <x:c r="A20" s="42" t="str">
        <x:v>This template does not replace biometric, shift, overtime or statutory attendance registers. It is a payroll-month reconciliation aid. Keep source attendance evidence and apply your organisation's leave and working-day policy.</x:v>
      </x:c>
      <x:c r="B20" s="42"/>
      <x:c r="C20" s="42"/>
      <x:c r="D20" s="42"/>
      <x:c r="E20" s="42"/>
      <x:c r="F20" s="42"/>
      <x:c r="G20" s="42"/>
      <x:c r="H20" s="42"/>
    </x:row>
    <x:row r="21" ht="22" customHeight="1">
      <x:c r="A21" s="42"/>
      <x:c r="B21" s="42"/>
      <x:c r="C21" s="42"/>
      <x:c r="D21" s="42"/>
      <x:c r="E21" s="42"/>
      <x:c r="F21" s="42"/>
      <x:c r="G21" s="42"/>
      <x:c r="H21" s="42"/>
    </x:row>
    <x:row r="22" ht="22" customHeight="1">
      <x:c r="A22" s="42"/>
      <x:c r="B22" s="42"/>
      <x:c r="C22" s="42"/>
      <x:c r="D22" s="42"/>
      <x:c r="E22" s="42"/>
      <x:c r="F22" s="42"/>
      <x:c r="G22" s="42"/>
      <x:c r="H22" s="42"/>
    </x:row>
    <x:row r="23" ht="22" customHeight="1">
      <x:c r="A23" s="42"/>
      <x:c r="B23" s="42"/>
      <x:c r="C23" s="42"/>
      <x:c r="D23" s="42"/>
      <x:c r="E23" s="42"/>
      <x:c r="F23" s="42"/>
      <x:c r="G23" s="42"/>
      <x:c r="H23" s="42"/>
    </x:row>
    <x:row r="24" ht="22" customHeight="1">
      <x:c r="A24" s="42"/>
      <x:c r="B24" s="42"/>
      <x:c r="C24" s="42"/>
      <x:c r="D24" s="42"/>
      <x:c r="E24" s="42"/>
      <x:c r="F24" s="42"/>
      <x:c r="G24" s="42"/>
      <x:c r="H24" s="42"/>
    </x:row>
    <x:row r="25">
      <x:c r="A25" s="42"/>
      <x:c r="B25" s="42"/>
      <x:c r="C25" s="42"/>
      <x:c r="D25" s="42"/>
      <x:c r="E25" s="42"/>
      <x:c r="F25" s="42"/>
      <x:c r="G25" s="42"/>
      <x:c r="H25" s="42"/>
    </x:row>
    <x:row r="26">
      <x:c r="A26" s="42"/>
      <x:c r="B26" s="42"/>
      <x:c r="C26" s="42"/>
      <x:c r="D26" s="42"/>
      <x:c r="E26" s="42"/>
      <x:c r="F26" s="42"/>
      <x:c r="G26" s="42"/>
      <x:c r="H26" s="42"/>
    </x:row>
    <x:row r="27">
      <x:c r="A27" s="42"/>
      <x:c r="B27" s="42"/>
      <x:c r="C27" s="42"/>
      <x:c r="D27" s="42"/>
      <x:c r="E27" s="42"/>
      <x:c r="F27" s="42"/>
      <x:c r="G27" s="42"/>
      <x:c r="H27" s="42"/>
    </x:row>
    <x:row r="28">
      <x:c r="A28" s="42"/>
      <x:c r="B28" s="42"/>
      <x:c r="C28" s="42"/>
      <x:c r="D28" s="42"/>
      <x:c r="E28" s="42"/>
      <x:c r="F28" s="42"/>
      <x:c r="G28" s="42"/>
      <x:c r="H28" s="42"/>
    </x:row>
    <x:row r="29">
      <x:c r="A29" s="42"/>
      <x:c r="B29" s="42"/>
      <x:c r="C29" s="42"/>
      <x:c r="D29" s="42"/>
      <x:c r="E29" s="42"/>
      <x:c r="F29" s="42"/>
      <x:c r="G29" s="42"/>
      <x:c r="H29" s="42"/>
    </x:row>
    <x:row r="30">
      <x:c r="A30" s="42"/>
      <x:c r="B30" s="42"/>
      <x:c r="C30" s="42"/>
      <x:c r="D30" s="42"/>
      <x:c r="E30" s="42"/>
      <x:c r="F30" s="42"/>
      <x:c r="G30" s="42"/>
      <x:c r="H30" s="42"/>
    </x:row>
    <x:row r="31">
      <x:c r="A31" s="42"/>
      <x:c r="B31" s="42"/>
      <x:c r="C31" s="42"/>
      <x:c r="D31" s="42"/>
      <x:c r="E31" s="42"/>
      <x:c r="F31" s="42"/>
      <x:c r="G31" s="42"/>
      <x:c r="H31" s="42"/>
    </x:row>
    <x:row r="32">
      <x:c r="A32" s="42"/>
      <x:c r="B32" s="42"/>
      <x:c r="C32" s="42"/>
      <x:c r="D32" s="42"/>
      <x:c r="E32" s="42"/>
      <x:c r="F32" s="42"/>
      <x:c r="G32" s="42"/>
      <x:c r="H32" s="42"/>
    </x:row>
    <x:row r="33">
      <x:c r="A33" s="42"/>
      <x:c r="B33" s="42"/>
      <x:c r="C33" s="42"/>
      <x:c r="D33" s="42"/>
      <x:c r="E33" s="42"/>
      <x:c r="F33" s="42"/>
      <x:c r="G33" s="42"/>
      <x:c r="H33" s="42"/>
    </x:row>
    <x:row r="34">
      <x:c r="A34" s="42"/>
      <x:c r="B34" s="42"/>
      <x:c r="C34" s="42"/>
      <x:c r="D34" s="42"/>
      <x:c r="E34" s="42"/>
      <x:c r="F34" s="42"/>
      <x:c r="G34" s="42"/>
      <x:c r="H34" s="42"/>
    </x:row>
    <x:row r="35">
      <x:c r="A35" s="42"/>
      <x:c r="B35" s="42"/>
      <x:c r="C35" s="42"/>
      <x:c r="D35" s="42"/>
      <x:c r="E35" s="42"/>
      <x:c r="F35" s="42"/>
      <x:c r="G35" s="42"/>
      <x:c r="H35" s="42"/>
    </x:row>
    <x:row r="36">
      <x:c r="A36" s="42"/>
      <x:c r="B36" s="42"/>
      <x:c r="C36" s="42"/>
      <x:c r="D36" s="42"/>
      <x:c r="E36" s="42"/>
      <x:c r="F36" s="42"/>
      <x:c r="G36" s="42"/>
      <x:c r="H36" s="42"/>
    </x:row>
    <x:row r="37">
      <x:c r="A37" s="42"/>
      <x:c r="B37" s="42"/>
      <x:c r="C37" s="42"/>
      <x:c r="D37" s="42"/>
      <x:c r="E37" s="42"/>
      <x:c r="F37" s="42"/>
      <x:c r="G37" s="42"/>
      <x:c r="H37" s="42"/>
    </x:row>
    <x:row r="38">
      <x:c r="A38" s="42"/>
      <x:c r="B38" s="42"/>
      <x:c r="C38" s="42"/>
      <x:c r="D38" s="42"/>
      <x:c r="E38" s="42"/>
      <x:c r="F38" s="42"/>
      <x:c r="G38" s="42"/>
      <x:c r="H38" s="42"/>
    </x:row>
    <x:row r="39">
      <x:c r="A39" s="42"/>
      <x:c r="B39" s="42"/>
      <x:c r="C39" s="42"/>
      <x:c r="D39" s="42"/>
      <x:c r="E39" s="42"/>
      <x:c r="F39" s="42"/>
      <x:c r="G39" s="42"/>
      <x:c r="H39" s="42"/>
    </x:row>
    <x:row r="40">
      <x:c r="A40" s="42"/>
      <x:c r="B40" s="42"/>
      <x:c r="C40" s="42"/>
      <x:c r="D40" s="42"/>
      <x:c r="E40" s="42"/>
      <x:c r="F40" s="42"/>
      <x:c r="G40" s="42"/>
      <x:c r="H40" s="42"/>
    </x:row>
  </x:sheetData>
  <x:mergeCells>
    <x:mergeCell ref="A1:H1"/>
    <x:mergeCell ref="A3:H3"/>
    <x:mergeCell ref="A4:H5"/>
    <x:mergeCell ref="A7:H7"/>
    <x:mergeCell ref="A8:H9"/>
    <x:mergeCell ref="A11:H11"/>
    <x:mergeCell ref="A12:H13"/>
    <x:mergeCell ref="A15:H15"/>
    <x:mergeCell ref="A16:H17"/>
    <x:mergeCell ref="A19:H19"/>
    <x:mergeCell ref="A20:H21"/>
  </x:mergeCells>
  <x:pageMargins left="0.7" right="0.7" top="0.75" bottom="0.75" header="0.3" footer="0.3"/>
</x:worksheet>
</file>